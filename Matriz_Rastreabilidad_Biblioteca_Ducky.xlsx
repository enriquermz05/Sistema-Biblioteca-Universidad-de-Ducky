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6ddf3ad1a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Rastreabilidad" sheetId="1" r:id="R97fe3230efad4bde"/>
    <x:sheet xmlns:r="http://schemas.openxmlformats.org/officeDocument/2006/relationships" name="Resumen" sheetId="2" r:id="R3a47498dfcf64ab7"/>
    <x:sheet xmlns:r="http://schemas.openxmlformats.org/officeDocument/2006/relationships" name="Catálogo Req" sheetId="3" r:id="R1c31325451da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666666"/>
      <x:name val="Carlito"/>
    </x:font>
    <x:font>
      <x:b/>
      <x:sz val="11"/>
      <x:name val="Carlito"/>
    </x:font>
    <x:font>
      <x:i/>
      <x:sz val="11"/>
      <x:color rgb="4444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3F6FA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274E13"/>
      </x:font>
      <x:fill>
        <x:patternFill patternType="solid">
          <x:bgColor rgb="D9EAD3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FF2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EAD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5e66c222d4e75" /><Relationship Type="http://schemas.openxmlformats.org/officeDocument/2006/relationships/theme" Target="/xl/theme/theme1.xml" Id="R08661892d26e4ed6" /><Relationship Type="http://schemas.openxmlformats.org/officeDocument/2006/relationships/sharedStrings" Target="/xl/sharedStrings.xml" Id="Rf9a4d0c8b988432a" /><Relationship Type="http://schemas.openxmlformats.org/officeDocument/2006/relationships/worksheet" Target="/xl/worksheets/sheet1.xml" Id="R97fe3230efad4bde" /><Relationship Type="http://schemas.openxmlformats.org/officeDocument/2006/relationships/worksheet" Target="/xl/worksheets/sheet2.xml" Id="R3a47498dfcf64ab7" /><Relationship Type="http://schemas.openxmlformats.org/officeDocument/2006/relationships/worksheet" Target="/xl/worksheets/sheet3.xml" Id="R1c31325451da4c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55aaa79fd5484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Enfoque</c:v>
          </c:tx>
          <c:cat>
            <c:strRef>
              <c:f>'Resumen'!$D$5:$D$7</c:f>
              <c:strCache>
                <c:ptCount val="0"/>
              </c:strCache>
            </c:strRef>
          </c:cat>
          <c:val>
            <c:numRef>
              <c:f>'Resumen'!$E$5:$E$7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RF</c:v>
          </c:tx>
          <c:cat>
            <c:strRef>
              <c:f>'Resumen'!$D$5:$D$7</c:f>
              <c:strCache>
                <c:ptCount val="0"/>
              </c:strCache>
            </c:strRef>
          </c:cat>
          <c:val>
            <c:numRef>
              <c:f>'Resumen'!$F$5:$F$7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RNF</c:v>
          </c:tx>
          <c:cat>
            <c:strRef>
              <c:f>'Resumen'!$D$5:$D$7</c:f>
              <c:strCache>
                <c:ptCount val="0"/>
              </c:strCache>
            </c:strRef>
          </c:cat>
          <c:val>
            <c:numRef>
              <c:f>'Resumen'!$G$5:$G$7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Total</c:v>
          </c:tx>
          <c:cat>
            <c:strRef>
              <c:f>'Resumen'!$D$5:$D$7</c:f>
              <c:strCache>
                <c:ptCount val="0"/>
              </c:strCache>
            </c:strRef>
          </c:cat>
          <c:val>
            <c:numRef>
              <c:f>'Resumen'!$H$5:$H$7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55aaa79fd548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Rastreabilidad" displayName="MatrizRastreabilidad" ref="A1:L53" headerRowCount="1">
  <x:tableColumns count="12">
    <x:tableColumn id="1" name="ID"/>
    <x:tableColumn id="2" name="Tipo"/>
    <x:tableColumn id="3" name="Sprint"/>
    <x:tableColumn id="4" name="Función"/>
    <x:tableColumn id="5" name="Requerimiento"/>
    <x:tableColumn id="6" name="Módulo / Componente"/>
    <x:tableColumn id="7" name="Caso de uso / Evidencia"/>
    <x:tableColumn id="8" name="Web"/>
    <x:tableColumn id="9" name="App"/>
    <x:tableColumn id="10" name="Prioridad"/>
    <x:tableColumn id="11" name="Estado"/>
    <x:tableColumn id="12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CatalogoRequerimientos" displayName="CatalogoRequerimientos" ref="A1:E53" headerRowCount="1">
  <x:tableColumns count="5">
    <x:tableColumn id="1" name="ID"/>
    <x:tableColumn id="2" name="Tipo"/>
    <x:tableColumn id="3" name="Sprint"/>
    <x:tableColumn id="4" name="Función"/>
    <x:tableColumn id="5" name="Descrip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29da32bb543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c167249726d47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4ca1b8acd94c5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22" hidden="0" customWidth="1"/>
    <x:col min="5" max="5" width="42" hidden="0" customWidth="1"/>
    <x:col min="6" max="6" width="24" hidden="0" customWidth="1"/>
    <x:col min="7" max="7" width="42" hidden="0" customWidth="1"/>
    <x:col min="8" max="8" width="8" hidden="0" customWidth="1"/>
    <x:col min="9" max="9" width="8" hidden="0" customWidth="1"/>
    <x:col min="10" max="10" width="12" hidden="0" customWidth="1"/>
    <x:col min="11" max="11" width="14" hidden="0" customWidth="1"/>
    <x:col min="12" max="12" width="28" hidden="0" customWidth="1"/>
  </x:cols>
  <x:sheetData>
    <x:row r="1" ht="30" customHeight="1">
      <x:c r="A1" s="6" t="str">
        <x:v>ID</x:v>
      </x:c>
      <x:c r="B1" s="6" t="str">
        <x:v>Tipo</x:v>
      </x:c>
      <x:c r="C1" s="6" t="str">
        <x:v>Sprint</x:v>
      </x:c>
      <x:c r="D1" s="6" t="str">
        <x:v>Función</x:v>
      </x:c>
      <x:c r="E1" s="6" t="str">
        <x:v>Requerimiento</x:v>
      </x:c>
      <x:c r="F1" s="6" t="str">
        <x:v>Módulo / Componente</x:v>
      </x:c>
      <x:c r="G1" s="6" t="str">
        <x:v>Caso de uso / Evidencia</x:v>
      </x:c>
      <x:c r="H1" s="6" t="str">
        <x:v>Web</x:v>
      </x:c>
      <x:c r="I1" s="6" t="str">
        <x:v>App</x:v>
      </x:c>
      <x:c r="J1" s="6" t="str">
        <x:v>Prioridad</x:v>
      </x:c>
      <x:c r="K1" s="6" t="str">
        <x:v>Estado</x:v>
      </x:c>
      <x:c r="L1" s="6" t="str">
        <x:v>Observaciones</x:v>
      </x:c>
    </x:row>
    <x:row r="2" ht="52" customHeight="1">
      <x:c r="A2" s="14" t="str">
        <x:v>RF1</x:v>
      </x:c>
      <x:c r="B2" s="14" t="str">
        <x:v>Funcional</x:v>
      </x:c>
      <x:c r="C2" s="14" t="str">
        <x:v>S0</x:v>
      </x:c>
      <x:c r="D2" s="14" t="str">
        <x:v>Gestión de Usuarios</x:v>
      </x:c>
      <x:c r="E2" s="14" t="str">
        <x:v>Creación de perfiles de usuario</x:v>
      </x:c>
      <x:c r="F2" s="14" t="str">
        <x:v>Usuarios</x:v>
      </x:c>
      <x:c r="G2" s="14" t="str">
        <x:v>Caso de uso: Alta de usuario / creación de perfil</x:v>
      </x:c>
      <x:c r="H2" s="14" t="str">
        <x:v>Sí</x:v>
      </x:c>
      <x:c r="I2" s="14" t="str">
        <x:v>No</x:v>
      </x:c>
      <x:c r="J2" s="14" t="str">
        <x:v>Alta</x:v>
      </x:c>
      <x:c r="K2" s="14" t="str">
        <x:v>Cubierto</x:v>
      </x:c>
      <x:c r="L2" s="14" t="str"/>
    </x:row>
    <x:row r="3" ht="52" customHeight="1">
      <x:c r="A3" s="14" t="str">
        <x:v>RF2</x:v>
      </x:c>
      <x:c r="B3" s="14" t="str">
        <x:v>Funcional</x:v>
      </x:c>
      <x:c r="C3" s="14" t="str">
        <x:v>S0</x:v>
      </x:c>
      <x:c r="D3" s="14" t="str">
        <x:v>Gestión de Usuarios</x:v>
      </x:c>
      <x:c r="E3" s="14" t="str">
        <x:v>Gestión de roles: Administrador, Bibliotecario, Profesor, Alumno y Colaborador</x:v>
      </x:c>
      <x:c r="F3" s="14" t="str">
        <x:v>Usuarios</x:v>
      </x:c>
      <x:c r="G3" s="14" t="str">
        <x:v>Caso de uso: Asignar rol y permisos por usuario</x:v>
      </x:c>
      <x:c r="H3" s="14" t="str">
        <x:v>Sí</x:v>
      </x:c>
      <x:c r="I3" s="14" t="str">
        <x:v>No</x:v>
      </x:c>
      <x:c r="J3" s="14" t="str">
        <x:v>Alta</x:v>
      </x:c>
      <x:c r="K3" s="14" t="str">
        <x:v>Cubierto</x:v>
      </x:c>
      <x:c r="L3" s="14" t="str"/>
    </x:row>
    <x:row r="4" ht="52" customHeight="1">
      <x:c r="A4" s="14" t="str">
        <x:v>RF3</x:v>
      </x:c>
      <x:c r="B4" s="14" t="str">
        <x:v>Funcional</x:v>
      </x:c>
      <x:c r="C4" s="14" t="str">
        <x:v>S0</x:v>
      </x:c>
      <x:c r="D4" s="14" t="str">
        <x:v>Gestión de Usuarios</x:v>
      </x:c>
      <x:c r="E4" s="14" t="str">
        <x:v>Consulta de estado del usuario: préstamos activos y multas</x:v>
      </x:c>
      <x:c r="F4" s="14" t="str">
        <x:v>Usuarios</x:v>
      </x:c>
      <x:c r="G4" s="14" t="str">
        <x:v>Caso de uso: Consultar usuario / estado de cuenta</x:v>
      </x:c>
      <x:c r="H4" s="14" t="str">
        <x:v>Sí</x:v>
      </x:c>
      <x:c r="I4" s="14" t="str">
        <x:v>No</x:v>
      </x:c>
      <x:c r="J4" s="14" t="str">
        <x:v>Alta</x:v>
      </x:c>
      <x:c r="K4" s="14" t="str">
        <x:v>Cubierto</x:v>
      </x:c>
      <x:c r="L4" s="14" t="str"/>
    </x:row>
    <x:row r="5" ht="52" customHeight="1">
      <x:c r="A5" s="14" t="str">
        <x:v>RF4</x:v>
      </x:c>
      <x:c r="B5" s="14" t="str">
        <x:v>Funcional</x:v>
      </x:c>
      <x:c r="C5" s="14" t="str">
        <x:v>S0</x:v>
      </x:c>
      <x:c r="D5" s="14" t="str">
        <x:v>Gestión de Usuarios</x:v>
      </x:c>
      <x:c r="E5" s="14" t="str">
        <x:v>Bloqueo automático por adeudos</x:v>
      </x:c>
      <x:c r="F5" s="14" t="str">
        <x:v>Usuarios / Multas</x:v>
      </x:c>
      <x:c r="G5" s="14" t="str">
        <x:v>Validación: Usuario con adeudos se bloquea para préstamo</x:v>
      </x:c>
      <x:c r="H5" s="14" t="str">
        <x:v>Sí</x:v>
      </x:c>
      <x:c r="I5" s="14" t="str">
        <x:v>No</x:v>
      </x:c>
      <x:c r="J5" s="14" t="str">
        <x:v>Alta</x:v>
      </x:c>
      <x:c r="K5" s="14" t="str">
        <x:v>Cubierto</x:v>
      </x:c>
      <x:c r="L5" s="14" t="str"/>
    </x:row>
    <x:row r="6" ht="52" customHeight="1">
      <x:c r="A6" s="14" t="str">
        <x:v>RF5</x:v>
      </x:c>
      <x:c r="B6" s="14" t="str">
        <x:v>Funcional</x:v>
      </x:c>
      <x:c r="C6" s="14" t="str">
        <x:v>S1</x:v>
      </x:c>
      <x:c r="D6" s="14" t="str">
        <x:v>Gestionar Libros</x:v>
      </x:c>
      <x:c r="E6" s="14" t="str">
        <x:v>Generación de ficha bibliográfica</x:v>
      </x:c>
      <x:c r="F6" s="14" t="str">
        <x:v>Catálogo</x:v>
      </x:c>
      <x:c r="G6" s="14" t="str">
        <x:v>Caso de uso: Registrar ficha bibliográfica</x:v>
      </x:c>
      <x:c r="H6" s="14" t="str">
        <x:v>Sí</x:v>
      </x:c>
      <x:c r="I6" s="14" t="str">
        <x:v>No</x:v>
      </x:c>
      <x:c r="J6" s="14" t="str">
        <x:v>Alta</x:v>
      </x:c>
      <x:c r="K6" s="14" t="str">
        <x:v>Cubierto</x:v>
      </x:c>
      <x:c r="L6" s="14" t="str"/>
    </x:row>
    <x:row r="7" ht="52" customHeight="1">
      <x:c r="A7" s="14" t="str">
        <x:v>RF6</x:v>
      </x:c>
      <x:c r="B7" s="14" t="str">
        <x:v>Funcional</x:v>
      </x:c>
      <x:c r="C7" s="14" t="str">
        <x:v>S1</x:v>
      </x:c>
      <x:c r="D7" s="14" t="str">
        <x:v>Gestionar Libros</x:v>
      </x:c>
      <x:c r="E7" s="14" t="str">
        <x:v>Alta de libros</x:v>
      </x:c>
      <x:c r="F7" s="14" t="str">
        <x:v>Catálogo / Inventario</x:v>
      </x:c>
      <x:c r="G7" s="14" t="str">
        <x:v>Caso de uso: Alta de libro</x:v>
      </x:c>
      <x:c r="H7" s="14" t="str">
        <x:v>Sí</x:v>
      </x:c>
      <x:c r="I7" s="14" t="str">
        <x:v>No</x:v>
      </x:c>
      <x:c r="J7" s="14" t="str">
        <x:v>Alta</x:v>
      </x:c>
      <x:c r="K7" s="14" t="str">
        <x:v>Cubierto</x:v>
      </x:c>
      <x:c r="L7" s="14" t="str"/>
    </x:row>
    <x:row r="8" ht="52" customHeight="1">
      <x:c r="A8" s="14" t="str">
        <x:v>RF7</x:v>
      </x:c>
      <x:c r="B8" s="14" t="str">
        <x:v>Funcional</x:v>
      </x:c>
      <x:c r="C8" s="14" t="str">
        <x:v>S1</x:v>
      </x:c>
      <x:c r="D8" s="14" t="str">
        <x:v>Gestionar Libros</x:v>
      </x:c>
      <x:c r="E8" s="14" t="str">
        <x:v>Baja de libros</x:v>
      </x:c>
      <x:c r="F8" s="14" t="str">
        <x:v>Catálogo / Inventario</x:v>
      </x:c>
      <x:c r="G8" s="14" t="str">
        <x:v>Caso de uso: Baja de libro</x:v>
      </x:c>
      <x:c r="H8" s="14" t="str">
        <x:v>Sí</x:v>
      </x:c>
      <x:c r="I8" s="14" t="str">
        <x:v>No</x:v>
      </x:c>
      <x:c r="J8" s="14" t="str">
        <x:v>Alta</x:v>
      </x:c>
      <x:c r="K8" s="14" t="str">
        <x:v>Cubierto</x:v>
      </x:c>
      <x:c r="L8" s="14" t="str"/>
    </x:row>
    <x:row r="9" ht="52" customHeight="1">
      <x:c r="A9" s="14" t="str">
        <x:v>RF8</x:v>
      </x:c>
      <x:c r="B9" s="14" t="str">
        <x:v>Funcional</x:v>
      </x:c>
      <x:c r="C9" s="14" t="str">
        <x:v>S1</x:v>
      </x:c>
      <x:c r="D9" s="14" t="str">
        <x:v>Gestionar Libros</x:v>
      </x:c>
      <x:c r="E9" s="14" t="str">
        <x:v>Modificación de libros</x:v>
      </x:c>
      <x:c r="F9" s="14" t="str">
        <x:v>Catálogo / Inventario</x:v>
      </x:c>
      <x:c r="G9" s="14" t="str">
        <x:v>Caso de uso: Modificar libro</x:v>
      </x:c>
      <x:c r="H9" s="14" t="str">
        <x:v>Sí</x:v>
      </x:c>
      <x:c r="I9" s="14" t="str">
        <x:v>No</x:v>
      </x:c>
      <x:c r="J9" s="14" t="str">
        <x:v>Alta</x:v>
      </x:c>
      <x:c r="K9" s="14" t="str">
        <x:v>Cubierto</x:v>
      </x:c>
      <x:c r="L9" s="14" t="str"/>
    </x:row>
    <x:row r="10" ht="52" customHeight="1">
      <x:c r="A10" s="14" t="str">
        <x:v>RF9</x:v>
      </x:c>
      <x:c r="B10" s="14" t="str">
        <x:v>Funcional</x:v>
      </x:c>
      <x:c r="C10" s="14" t="str">
        <x:v>S1</x:v>
      </x:c>
      <x:c r="D10" s="14" t="str">
        <x:v>Gestionar Libros</x:v>
      </x:c>
      <x:c r="E10" s="14" t="str">
        <x:v>Control de estados: disponible, prestado, dañado, perdido u obsoleto</x:v>
      </x:c>
      <x:c r="F10" s="14" t="str">
        <x:v>Inventario</x:v>
      </x:c>
      <x:c r="G10" s="14" t="str">
        <x:v>Caso de uso: Actualizar estado del ejemplar</x:v>
      </x:c>
      <x:c r="H10" s="14" t="str">
        <x:v>Sí</x:v>
      </x:c>
      <x:c r="I10" s="14" t="str">
        <x:v>No</x:v>
      </x:c>
      <x:c r="J10" s="14" t="str">
        <x:v>Alta</x:v>
      </x:c>
      <x:c r="K10" s="14" t="str">
        <x:v>Cubierto</x:v>
      </x:c>
      <x:c r="L10" s="14" t="str"/>
    </x:row>
    <x:row r="11" ht="52" customHeight="1">
      <x:c r="A11" s="14" t="str">
        <x:v>RF10</x:v>
      </x:c>
      <x:c r="B11" s="14" t="str">
        <x:v>Funcional</x:v>
      </x:c>
      <x:c r="C11" s="14" t="str">
        <x:v>S1</x:v>
      </x:c>
      <x:c r="D11" s="14" t="str">
        <x:v>Gestionar Libros</x:v>
      </x:c>
      <x:c r="E11" s="14" t="str">
        <x:v>Solicitud de compra de libros</x:v>
      </x:c>
      <x:c r="F11" s="14" t="str">
        <x:v>Compras / Catálogo</x:v>
      </x:c>
      <x:c r="G11" s="14" t="str">
        <x:v>Caso de uso: Solicitud de compra de libro</x:v>
      </x:c>
      <x:c r="H11" s="14" t="str">
        <x:v>Sí</x:v>
      </x:c>
      <x:c r="I11" s="14" t="str">
        <x:v>No</x:v>
      </x:c>
      <x:c r="J11" s="14" t="str">
        <x:v>Alta</x:v>
      </x:c>
      <x:c r="K11" s="14" t="str">
        <x:v>Cubierto</x:v>
      </x:c>
      <x:c r="L11" s="14" t="str"/>
    </x:row>
    <x:row r="12" ht="52" customHeight="1">
      <x:c r="A12" s="14" t="str">
        <x:v>RF11</x:v>
      </x:c>
      <x:c r="B12" s="14" t="str">
        <x:v>Funcional</x:v>
      </x:c>
      <x:c r="C12" s="14" t="str">
        <x:v>S1</x:v>
      </x:c>
      <x:c r="D12" s="14" t="str">
        <x:v>Buscar Libros</x:v>
      </x:c>
      <x:c r="E12" s="14" t="str">
        <x:v>Consulta de existencia y ubicación por filtros</x:v>
      </x:c>
      <x:c r="F12" s="14" t="str">
        <x:v>Búsqueda / Catálogo</x:v>
      </x:c>
      <x:c r="G12" s="14" t="str">
        <x:v>Caso de uso: Buscar libro por autor, título, tema, clave o editorial</x:v>
      </x:c>
      <x:c r="H12" s="14" t="str">
        <x:v>Sí</x:v>
      </x:c>
      <x:c r="I12" s="14" t="str">
        <x:v>Sí</x:v>
      </x:c>
      <x:c r="J12" s="14" t="str">
        <x:v>Alta</x:v>
      </x:c>
      <x:c r="K12" s="14" t="str">
        <x:v>Cubierto</x:v>
      </x:c>
      <x:c r="L12" s="14" t="str"/>
    </x:row>
    <x:row r="13" ht="52" customHeight="1">
      <x:c r="A13" s="14" t="str">
        <x:v>RF12</x:v>
      </x:c>
      <x:c r="B13" s="14" t="str">
        <x:v>Funcional</x:v>
      </x:c>
      <x:c r="C13" s="14" t="str">
        <x:v>S1</x:v>
      </x:c>
      <x:c r="D13" s="14" t="str">
        <x:v>Buscar Libros</x:v>
      </x:c>
      <x:c r="E13" s="14" t="str">
        <x:v>Visualización de disponibilidad en tiempo real</x:v>
      </x:c>
      <x:c r="F13" s="14" t="str">
        <x:v>Búsqueda / Inventario</x:v>
      </x:c>
      <x:c r="G13" s="14" t="str">
        <x:v>Caso de uso: Ver disponibilidad del libro</x:v>
      </x:c>
      <x:c r="H13" s="14" t="str">
        <x:v>Sí</x:v>
      </x:c>
      <x:c r="I13" s="14" t="str">
        <x:v>Sí</x:v>
      </x:c>
      <x:c r="J13" s="14" t="str">
        <x:v>Alta</x:v>
      </x:c>
      <x:c r="K13" s="14" t="str">
        <x:v>Cubierto</x:v>
      </x:c>
      <x:c r="L13" s="14" t="str"/>
    </x:row>
    <x:row r="14" ht="52" customHeight="1">
      <x:c r="A14" s="14" t="str">
        <x:v>RF13</x:v>
      </x:c>
      <x:c r="B14" s="14" t="str">
        <x:v>Funcional</x:v>
      </x:c>
      <x:c r="C14" s="14" t="str">
        <x:v>S1</x:v>
      </x:c>
      <x:c r="D14" s="14" t="str">
        <x:v>Buscar Libros</x:v>
      </x:c>
      <x:c r="E14" s="14" t="str">
        <x:v>Listado de libros por diversos filtros</x:v>
      </x:c>
      <x:c r="F14" s="14" t="str">
        <x:v>Búsqueda / Catálogo</x:v>
      </x:c>
      <x:c r="G14" s="14" t="str">
        <x:v>Caso de uso: Listar libros filtrados</x:v>
      </x:c>
      <x:c r="H14" s="14" t="str">
        <x:v>Sí</x:v>
      </x:c>
      <x:c r="I14" s="14" t="str">
        <x:v>Sí</x:v>
      </x:c>
      <x:c r="J14" s="14" t="str">
        <x:v>Alta</x:v>
      </x:c>
      <x:c r="K14" s="14" t="str">
        <x:v>Cubierto</x:v>
      </x:c>
      <x:c r="L14" s="14" t="str"/>
    </x:row>
    <x:row r="15" ht="52" customHeight="1">
      <x:c r="A15" s="14" t="str">
        <x:v>RF14</x:v>
      </x:c>
      <x:c r="B15" s="14" t="str">
        <x:v>Funcional</x:v>
      </x:c>
      <x:c r="C15" s="14" t="str">
        <x:v>S2</x:v>
      </x:c>
      <x:c r="D15" s="14" t="str">
        <x:v>Prestar Libros</x:v>
      </x:c>
      <x:c r="E15" s="14" t="str">
        <x:v>Validación de condición del solicitante</x:v>
      </x:c>
      <x:c r="F15" s="14" t="str">
        <x:v>Préstamos / Usuarios</x:v>
      </x:c>
      <x:c r="G15" s="14" t="str">
        <x:v>Validación: alumno/profesor vigente, sin adeudos y dentro de límites</x:v>
      </x:c>
      <x:c r="H15" s="14" t="str">
        <x:v>Sí</x:v>
      </x:c>
      <x:c r="I15" s="14" t="str">
        <x:v>No</x:v>
      </x:c>
      <x:c r="J15" s="14" t="str">
        <x:v>Alta</x:v>
      </x:c>
      <x:c r="K15" s="14" t="str">
        <x:v>Cubierto</x:v>
      </x:c>
      <x:c r="L15" s="14" t="str"/>
    </x:row>
    <x:row r="16" ht="52" customHeight="1">
      <x:c r="A16" s="14" t="str">
        <x:v>RF15</x:v>
      </x:c>
      <x:c r="B16" s="14" t="str">
        <x:v>Funcional</x:v>
      </x:c>
      <x:c r="C16" s="14" t="str">
        <x:v>S2</x:v>
      </x:c>
      <x:c r="D16" s="14" t="str">
        <x:v>Prestar Libros</x:v>
      </x:c>
      <x:c r="E16" s="14" t="str">
        <x:v>Validación de condición del libro</x:v>
      </x:c>
      <x:c r="F16" s="14" t="str">
        <x:v>Préstamos / Inventario</x:v>
      </x:c>
      <x:c r="G16" s="14" t="str">
        <x:v>Validación: libro disponible y permitido para préstamo externo</x:v>
      </x:c>
      <x:c r="H16" s="14" t="str">
        <x:v>Sí</x:v>
      </x:c>
      <x:c r="I16" s="14" t="str">
        <x:v>No</x:v>
      </x:c>
      <x:c r="J16" s="14" t="str">
        <x:v>Alta</x:v>
      </x:c>
      <x:c r="K16" s="14" t="str">
        <x:v>Cubierto</x:v>
      </x:c>
      <x:c r="L16" s="14" t="str"/>
    </x:row>
    <x:row r="17" ht="52" customHeight="1">
      <x:c r="A17" s="14" t="str">
        <x:v>RF16</x:v>
      </x:c>
      <x:c r="B17" s="14" t="str">
        <x:v>Funcional</x:v>
      </x:c>
      <x:c r="C17" s="14" t="str">
        <x:v>S2</x:v>
      </x:c>
      <x:c r="D17" s="14" t="str">
        <x:v>Prestar Libros</x:v>
      </x:c>
      <x:c r="E17" s="14" t="str">
        <x:v>Registro de préstamo</x:v>
      </x:c>
      <x:c r="F17" s="14" t="str">
        <x:v>Préstamos</x:v>
      </x:c>
      <x:c r="G17" s="14" t="str">
        <x:v>Caso de uso: Prestar libro</x:v>
      </x:c>
      <x:c r="H17" s="14" t="str">
        <x:v>Sí</x:v>
      </x:c>
      <x:c r="I17" s="14" t="str">
        <x:v>No</x:v>
      </x:c>
      <x:c r="J17" s="14" t="str">
        <x:v>Alta</x:v>
      </x:c>
      <x:c r="K17" s="14" t="str">
        <x:v>Cubierto</x:v>
      </x:c>
      <x:c r="L17" s="14" t="str"/>
    </x:row>
    <x:row r="18" ht="52" customHeight="1">
      <x:c r="A18" s="14" t="str">
        <x:v>RF17</x:v>
      </x:c>
      <x:c r="B18" s="14" t="str">
        <x:v>Funcional</x:v>
      </x:c>
      <x:c r="C18" s="14" t="str">
        <x:v>S2</x:v>
      </x:c>
      <x:c r="D18" s="14" t="str">
        <x:v>Prestar Libros</x:v>
      </x:c>
      <x:c r="E18" s="14" t="str">
        <x:v>Generación de recibo por email, WhatsApp o impresión</x:v>
      </x:c>
      <x:c r="F18" s="14" t="str">
        <x:v>Préstamos / Notificaciones</x:v>
      </x:c>
      <x:c r="G18" s="14" t="str">
        <x:v>Evidencia: Recibo generado al registrar préstamo</x:v>
      </x:c>
      <x:c r="H18" s="14" t="str">
        <x:v>Sí</x:v>
      </x:c>
      <x:c r="I18" s="14" t="str">
        <x:v>No</x:v>
      </x:c>
      <x:c r="J18" s="14" t="str">
        <x:v>Alta</x:v>
      </x:c>
      <x:c r="K18" s="14" t="str">
        <x:v>Cubierto</x:v>
      </x:c>
      <x:c r="L18" s="14" t="str"/>
    </x:row>
    <x:row r="19" ht="52" customHeight="1">
      <x:c r="A19" s="14" t="str">
        <x:v>RF18</x:v>
      </x:c>
      <x:c r="B19" s="14" t="str">
        <x:v>Funcional</x:v>
      </x:c>
      <x:c r="C19" s="14" t="str">
        <x:v>S2</x:v>
      </x:c>
      <x:c r="D19" s="14" t="str">
        <x:v>Prestar Libros</x:v>
      </x:c>
      <x:c r="E19" s="14" t="str">
        <x:v>Renovación de préstamo</x:v>
      </x:c>
      <x:c r="F19" s="14" t="str">
        <x:v>Préstamos</x:v>
      </x:c>
      <x:c r="G19" s="14" t="str">
        <x:v>Caso de uso: Renovar préstamo</x:v>
      </x:c>
      <x:c r="H19" s="14" t="str">
        <x:v>Sí</x:v>
      </x:c>
      <x:c r="I19" s="14" t="str">
        <x:v>No</x:v>
      </x:c>
      <x:c r="J19" s="14" t="str">
        <x:v>Alta</x:v>
      </x:c>
      <x:c r="K19" s="14" t="str">
        <x:v>Cubierto</x:v>
      </x:c>
      <x:c r="L19" s="14" t="str"/>
    </x:row>
    <x:row r="20" ht="52" customHeight="1">
      <x:c r="A20" s="14" t="str">
        <x:v>RF19</x:v>
      </x:c>
      <x:c r="B20" s="14" t="str">
        <x:v>Funcional</x:v>
      </x:c>
      <x:c r="C20" s="14" t="str">
        <x:v>S2</x:v>
      </x:c>
      <x:c r="D20" s="14" t="str">
        <x:v>Prestar Libros</x:v>
      </x:c>
      <x:c r="E20" s="14" t="str">
        <x:v>Gestión de lista de espera</x:v>
      </x:c>
      <x:c r="F20" s="14" t="str">
        <x:v>Préstamos / Reservas</x:v>
      </x:c>
      <x:c r="G20" s="14" t="str">
        <x:v>Caso de uso: Agregar usuario a lista de espera</x:v>
      </x:c>
      <x:c r="H20" s="14" t="str">
        <x:v>Sí</x:v>
      </x:c>
      <x:c r="I20" s="14" t="str">
        <x:v>No</x:v>
      </x:c>
      <x:c r="J20" s="14" t="str">
        <x:v>Alta</x:v>
      </x:c>
      <x:c r="K20" s="14" t="str">
        <x:v>Cubierto</x:v>
      </x:c>
      <x:c r="L20" s="14" t="str"/>
    </x:row>
    <x:row r="21" ht="52" customHeight="1">
      <x:c r="A21" s="14" t="str">
        <x:v>RF20</x:v>
      </x:c>
      <x:c r="B21" s="14" t="str">
        <x:v>Funcional</x:v>
      </x:c>
      <x:c r="C21" s="14" t="str">
        <x:v>S2</x:v>
      </x:c>
      <x:c r="D21" s="14" t="str">
        <x:v>Prestar Libros</x:v>
      </x:c>
      <x:c r="E21" s="14" t="str">
        <x:v>Validación automática de multas pendientes</x:v>
      </x:c>
      <x:c r="F21" s="14" t="str">
        <x:v>Préstamos / Multas</x:v>
      </x:c>
      <x:c r="G21" s="14" t="str">
        <x:v>Validación: multas pendientes impiden préstamo</x:v>
      </x:c>
      <x:c r="H21" s="14" t="str">
        <x:v>Sí</x:v>
      </x:c>
      <x:c r="I21" s="14" t="str">
        <x:v>No</x:v>
      </x:c>
      <x:c r="J21" s="14" t="str">
        <x:v>Alta</x:v>
      </x:c>
      <x:c r="K21" s="14" t="str">
        <x:v>Cubierto</x:v>
      </x:c>
      <x:c r="L21" s="14" t="str"/>
    </x:row>
    <x:row r="22" ht="52" customHeight="1">
      <x:c r="A22" s="14" t="str">
        <x:v>RF21</x:v>
      </x:c>
      <x:c r="B22" s="14" t="str">
        <x:v>Funcional</x:v>
      </x:c>
      <x:c r="C22" s="14" t="str">
        <x:v>S2</x:v>
      </x:c>
      <x:c r="D22" s="14" t="str">
        <x:v>Prestar Libros</x:v>
      </x:c>
      <x:c r="E22" s="14" t="str">
        <x:v>Límite máximo de libros por usuario</x:v>
      </x:c>
      <x:c r="F22" s="14" t="str">
        <x:v>Préstamos / Usuarios</x:v>
      </x:c>
      <x:c r="G22" s="14" t="str">
        <x:v>Validación: máximo de préstamos según tipo de usuario</x:v>
      </x:c>
      <x:c r="H22" s="14" t="str">
        <x:v>Sí</x:v>
      </x:c>
      <x:c r="I22" s="14" t="str">
        <x:v>No</x:v>
      </x:c>
      <x:c r="J22" s="14" t="str">
        <x:v>Alta</x:v>
      </x:c>
      <x:c r="K22" s="14" t="str">
        <x:v>Cubierto</x:v>
      </x:c>
      <x:c r="L22" s="14" t="str"/>
    </x:row>
    <x:row r="23" ht="52" customHeight="1">
      <x:c r="A23" s="14" t="str">
        <x:v>RF22</x:v>
      </x:c>
      <x:c r="B23" s="14" t="str">
        <x:v>Funcional</x:v>
      </x:c>
      <x:c r="C23" s="14" t="str">
        <x:v>S2</x:v>
      </x:c>
      <x:c r="D23" s="14" t="str">
        <x:v>Devolver Libros</x:v>
      </x:c>
      <x:c r="E23" s="14" t="str">
        <x:v>Registro de devolución de libro</x:v>
      </x:c>
      <x:c r="F23" s="14" t="str">
        <x:v>Devoluciones / Préstamos</x:v>
      </x:c>
      <x:c r="G23" s="14" t="str">
        <x:v>Caso de uso: Devolver libro</x:v>
      </x:c>
      <x:c r="H23" s="14" t="str">
        <x:v>Sí</x:v>
      </x:c>
      <x:c r="I23" s="14" t="str">
        <x:v>No</x:v>
      </x:c>
      <x:c r="J23" s="14" t="str">
        <x:v>Alta</x:v>
      </x:c>
      <x:c r="K23" s="14" t="str">
        <x:v>Cubierto</x:v>
      </x:c>
      <x:c r="L23" s="14" t="str"/>
    </x:row>
    <x:row r="24" ht="52" customHeight="1">
      <x:c r="A24" s="14" t="str">
        <x:v>RF23</x:v>
      </x:c>
      <x:c r="B24" s="14" t="str">
        <x:v>Funcional</x:v>
      </x:c>
      <x:c r="C24" s="14" t="str">
        <x:v>S2</x:v>
      </x:c>
      <x:c r="D24" s="14" t="str">
        <x:v>Devolver Libros</x:v>
      </x:c>
      <x:c r="E24" s="14" t="str">
        <x:v>Generación automática de multa por entrega extemporánea</x:v>
      </x:c>
      <x:c r="F24" s="14" t="str">
        <x:v>Multas</x:v>
      </x:c>
      <x:c r="G24" s="14" t="str">
        <x:v>Validación: cálculo de multa por días de retraso</x:v>
      </x:c>
      <x:c r="H24" s="14" t="str">
        <x:v>Sí</x:v>
      </x:c>
      <x:c r="I24" s="14" t="str">
        <x:v>No</x:v>
      </x:c>
      <x:c r="J24" s="14" t="str">
        <x:v>Alta</x:v>
      </x:c>
      <x:c r="K24" s="14" t="str">
        <x:v>Cubierto</x:v>
      </x:c>
      <x:c r="L24" s="14" t="str"/>
    </x:row>
    <x:row r="25" ht="52" customHeight="1">
      <x:c r="A25" s="14" t="str">
        <x:v>RF24</x:v>
      </x:c>
      <x:c r="B25" s="14" t="str">
        <x:v>Funcional</x:v>
      </x:c>
      <x:c r="C25" s="14" t="str">
        <x:v>S2</x:v>
      </x:c>
      <x:c r="D25" s="14" t="str">
        <x:v>Devolver Libros</x:v>
      </x:c>
      <x:c r="E25" s="14" t="str">
        <x:v>Generación de multa por daño o pérdida</x:v>
      </x:c>
      <x:c r="F25" s="14" t="str">
        <x:v>Multas / Inventario</x:v>
      </x:c>
      <x:c r="G25" s="14" t="str">
        <x:v>Validación: multa por daño o reposición</x:v>
      </x:c>
      <x:c r="H25" s="14" t="str">
        <x:v>Sí</x:v>
      </x:c>
      <x:c r="I25" s="14" t="str">
        <x:v>No</x:v>
      </x:c>
      <x:c r="J25" s="14" t="str">
        <x:v>Alta</x:v>
      </x:c>
      <x:c r="K25" s="14" t="str">
        <x:v>Cubierto</x:v>
      </x:c>
      <x:c r="L25" s="14" t="str"/>
    </x:row>
    <x:row r="26" ht="52" customHeight="1">
      <x:c r="A26" s="14" t="str">
        <x:v>RF25</x:v>
      </x:c>
      <x:c r="B26" s="14" t="str">
        <x:v>Funcional</x:v>
      </x:c>
      <x:c r="C26" s="14" t="str">
        <x:v>S2</x:v>
      </x:c>
      <x:c r="D26" s="14" t="str">
        <x:v>Devolver Libros</x:v>
      </x:c>
      <x:c r="E26" s="14" t="str">
        <x:v>Registro de pago de multa</x:v>
      </x:c>
      <x:c r="F26" s="14" t="str">
        <x:v>Multas / Tesorería</x:v>
      </x:c>
      <x:c r="G26" s="14" t="str">
        <x:v>Caso de uso: Registrar pago de multa</x:v>
      </x:c>
      <x:c r="H26" s="14" t="str">
        <x:v>Sí</x:v>
      </x:c>
      <x:c r="I26" s="14" t="str">
        <x:v>No</x:v>
      </x:c>
      <x:c r="J26" s="14" t="str">
        <x:v>Alta</x:v>
      </x:c>
      <x:c r="K26" s="14" t="str">
        <x:v>Cubierto</x:v>
      </x:c>
      <x:c r="L26" s="14" t="str"/>
    </x:row>
    <x:row r="27" ht="52" customHeight="1">
      <x:c r="A27" s="14" t="str">
        <x:v>RF26</x:v>
      </x:c>
      <x:c r="B27" s="14" t="str">
        <x:v>Funcional</x:v>
      </x:c>
      <x:c r="C27" s="14" t="str">
        <x:v>S2</x:v>
      </x:c>
      <x:c r="D27" s="14" t="str">
        <x:v>Reportes y Control</x:v>
      </x:c>
      <x:c r="E27" s="14" t="str">
        <x:v>Reporte de préstamos activos</x:v>
      </x:c>
      <x:c r="F27" s="14" t="str">
        <x:v>Reportes</x:v>
      </x:c>
      <x:c r="G27" s="14" t="str">
        <x:v>Evidencia: Reporte de préstamos activos</x:v>
      </x:c>
      <x:c r="H27" s="14" t="str">
        <x:v>Sí</x:v>
      </x:c>
      <x:c r="I27" s="14" t="str">
        <x:v>No</x:v>
      </x:c>
      <x:c r="J27" s="14" t="str">
        <x:v>Alta</x:v>
      </x:c>
      <x:c r="K27" s="14" t="str">
        <x:v>Cubierto</x:v>
      </x:c>
      <x:c r="L27" s="14" t="str"/>
    </x:row>
    <x:row r="28" ht="52" customHeight="1">
      <x:c r="A28" s="14" t="str">
        <x:v>RF27</x:v>
      </x:c>
      <x:c r="B28" s="14" t="str">
        <x:v>Funcional</x:v>
      </x:c>
      <x:c r="C28" s="14" t="str">
        <x:v>S2</x:v>
      </x:c>
      <x:c r="D28" s="14" t="str">
        <x:v>Reportes y Control</x:v>
      </x:c>
      <x:c r="E28" s="14" t="str">
        <x:v>Reporte de multas y usuarios suspendidos</x:v>
      </x:c>
      <x:c r="F28" s="14" t="str">
        <x:v>Reportes / Multas</x:v>
      </x:c>
      <x:c r="G28" s="14" t="str">
        <x:v>Evidencia: Reporte de multas y suspendidos</x:v>
      </x:c>
      <x:c r="H28" s="14" t="str">
        <x:v>Sí</x:v>
      </x:c>
      <x:c r="I28" s="14" t="str">
        <x:v>No</x:v>
      </x:c>
      <x:c r="J28" s="14" t="str">
        <x:v>Alta</x:v>
      </x:c>
      <x:c r="K28" s="14" t="str">
        <x:v>Cubierto</x:v>
      </x:c>
      <x:c r="L28" s="14" t="str"/>
    </x:row>
    <x:row r="29" ht="52" customHeight="1">
      <x:c r="A29" s="14" t="str">
        <x:v>RF28</x:v>
      </x:c>
      <x:c r="B29" s="14" t="str">
        <x:v>Funcional</x:v>
      </x:c>
      <x:c r="C29" s="14" t="str">
        <x:v>S2</x:v>
      </x:c>
      <x:c r="D29" s="14" t="str">
        <x:v>Reportes y Control</x:v>
      </x:c>
      <x:c r="E29" s="14" t="str">
        <x:v>Historial de préstamos por usuario y libro</x:v>
      </x:c>
      <x:c r="F29" s="14" t="str">
        <x:v>Reportes / Préstamos</x:v>
      </x:c>
      <x:c r="G29" s="14" t="str">
        <x:v>Evidencia: Historial de préstamos</x:v>
      </x:c>
      <x:c r="H29" s="14" t="str">
        <x:v>Sí</x:v>
      </x:c>
      <x:c r="I29" s="14" t="str">
        <x:v>No</x:v>
      </x:c>
      <x:c r="J29" s="14" t="str">
        <x:v>Alta</x:v>
      </x:c>
      <x:c r="K29" s="14" t="str">
        <x:v>Cubierto</x:v>
      </x:c>
      <x:c r="L29" s="14" t="str"/>
    </x:row>
    <x:row r="30" ht="52" customHeight="1">
      <x:c r="A30" s="14" t="str">
        <x:v>RF29</x:v>
      </x:c>
      <x:c r="B30" s="14" t="str">
        <x:v>Funcional</x:v>
      </x:c>
      <x:c r="C30" s="14" t="str">
        <x:v>S2</x:v>
      </x:c>
      <x:c r="D30" s="14" t="str">
        <x:v>Reportes y Control</x:v>
      </x:c>
      <x:c r="E30" s="14" t="str">
        <x:v>Reporte de libros más prestados</x:v>
      </x:c>
      <x:c r="F30" s="14" t="str">
        <x:v>Reportes / Catálogo</x:v>
      </x:c>
      <x:c r="G30" s="14" t="str">
        <x:v>Evidencia: Reporte de libros más prestados</x:v>
      </x:c>
      <x:c r="H30" s="14" t="str">
        <x:v>Sí</x:v>
      </x:c>
      <x:c r="I30" s="14" t="str">
        <x:v>No</x:v>
      </x:c>
      <x:c r="J30" s="14" t="str">
        <x:v>Alta</x:v>
      </x:c>
      <x:c r="K30" s="14" t="str">
        <x:v>Cubierto</x:v>
      </x:c>
      <x:c r="L30" s="14" t="str"/>
    </x:row>
    <x:row r="31" ht="52" customHeight="1">
      <x:c r="A31" s="14" t="str">
        <x:v>RNF1</x:v>
      </x:c>
      <x:c r="B31" s="14" t="str">
        <x:v>No Funcional</x:v>
      </x:c>
      <x:c r="C31" s="14" t="str">
        <x:v>S0</x:v>
      </x:c>
      <x:c r="D31" s="14" t="str">
        <x:v>Gestión de Usuarios</x:v>
      </x:c>
      <x:c r="E31" s="14" t="str">
        <x:v>Autenticación User/Password</x:v>
      </x:c>
      <x:c r="F31" s="14" t="str">
        <x:v>Seguridad</x:v>
      </x:c>
      <x:c r="G31" s="14" t="str">
        <x:v>Prueba: inicio de sesión con credenciales</x:v>
      </x:c>
      <x:c r="H31" s="14" t="str">
        <x:v>Sí</x:v>
      </x:c>
      <x:c r="I31" s="14" t="str">
        <x:v>No</x:v>
      </x:c>
      <x:c r="J31" s="14" t="str">
        <x:v>Alta</x:v>
      </x:c>
      <x:c r="K31" s="14" t="str">
        <x:v>Cubierto</x:v>
      </x:c>
      <x:c r="L31" s="14" t="str"/>
    </x:row>
    <x:row r="32" ht="52" customHeight="1">
      <x:c r="A32" s="14" t="str">
        <x:v>RNF2</x:v>
      </x:c>
      <x:c r="B32" s="14" t="str">
        <x:v>No Funcional</x:v>
      </x:c>
      <x:c r="C32" s="14" t="str">
        <x:v>S0</x:v>
      </x:c>
      <x:c r="D32" s="14" t="str">
        <x:v>Gestión de Usuarios</x:v>
      </x:c>
      <x:c r="E32" s="14" t="str">
        <x:v>Control de acceso por roles</x:v>
      </x:c>
      <x:c r="F32" s="14" t="str">
        <x:v>Seguridad / Roles</x:v>
      </x:c>
      <x:c r="G32" s="14" t="str">
        <x:v>Prueba: permisos según rol</x:v>
      </x:c>
      <x:c r="H32" s="14" t="str">
        <x:v>Sí</x:v>
      </x:c>
      <x:c r="I32" s="14" t="str">
        <x:v>No</x:v>
      </x:c>
      <x:c r="J32" s="14" t="str">
        <x:v>Alta</x:v>
      </x:c>
      <x:c r="K32" s="14" t="str">
        <x:v>Cubierto</x:v>
      </x:c>
      <x:c r="L32" s="14" t="str"/>
    </x:row>
    <x:row r="33" ht="52" customHeight="1">
      <x:c r="A33" s="14" t="str">
        <x:v>RNF3</x:v>
      </x:c>
      <x:c r="B33" s="14" t="str">
        <x:v>No Funcional</x:v>
      </x:c>
      <x:c r="C33" s="14" t="str">
        <x:v>S0</x:v>
      </x:c>
      <x:c r="D33" s="14" t="str">
        <x:v>Gestión de Usuarios</x:v>
      </x:c>
      <x:c r="E33" s="14" t="str">
        <x:v>Protección de datos personales</x:v>
      </x:c>
      <x:c r="F33" s="14" t="str">
        <x:v>Seguridad / Datos</x:v>
      </x:c>
      <x:c r="G33" s="14" t="str">
        <x:v>Validación: datos personales protegidos</x:v>
      </x:c>
      <x:c r="H33" s="14" t="str">
        <x:v>Sí</x:v>
      </x:c>
      <x:c r="I33" s="14" t="str">
        <x:v>No</x:v>
      </x:c>
      <x:c r="J33" s="14" t="str">
        <x:v>Alta</x:v>
      </x:c>
      <x:c r="K33" s="14" t="str">
        <x:v>Cubierto</x:v>
      </x:c>
      <x:c r="L33" s="14" t="str"/>
    </x:row>
    <x:row r="34" ht="52" customHeight="1">
      <x:c r="A34" s="14" t="str">
        <x:v>RNF4</x:v>
      </x:c>
      <x:c r="B34" s="14" t="str">
        <x:v>No Funcional</x:v>
      </x:c>
      <x:c r="C34" s="14" t="str">
        <x:v>S0</x:v>
      </x:c>
      <x:c r="D34" s="14" t="str">
        <x:v>Gestión de Usuarios</x:v>
      </x:c>
      <x:c r="E34" s="14" t="str">
        <x:v>Registro de auditoría de accesos</x:v>
      </x:c>
      <x:c r="F34" s="14" t="str">
        <x:v>Auditoría</x:v>
      </x:c>
      <x:c r="G34" s="14" t="str">
        <x:v>Evidencia: bitácora de accesos</x:v>
      </x:c>
      <x:c r="H34" s="14" t="str">
        <x:v>Sí</x:v>
      </x:c>
      <x:c r="I34" s="14" t="str">
        <x:v>No</x:v>
      </x:c>
      <x:c r="J34" s="14" t="str">
        <x:v>Alta</x:v>
      </x:c>
      <x:c r="K34" s="14" t="str">
        <x:v>Cubierto</x:v>
      </x:c>
      <x:c r="L34" s="14" t="str"/>
    </x:row>
    <x:row r="35" ht="52" customHeight="1">
      <x:c r="A35" s="14" t="str">
        <x:v>RNF5</x:v>
      </x:c>
      <x:c r="B35" s="14" t="str">
        <x:v>No Funcional</x:v>
      </x:c>
      <x:c r="C35" s="14" t="str">
        <x:v>S0</x:v>
      </x:c>
      <x:c r="D35" s="14" t="str">
        <x:v>Gestión de Usuarios</x:v>
      </x:c>
      <x:c r="E35" s="14" t="str">
        <x:v>Backup y restore</x:v>
      </x:c>
      <x:c r="F35" s="14" t="str">
        <x:v>Base de datos</x:v>
      </x:c>
      <x:c r="G35" s="14" t="str">
        <x:v>Evidencia: respaldo y restauración</x:v>
      </x:c>
      <x:c r="H35" s="14" t="str">
        <x:v>Sí</x:v>
      </x:c>
      <x:c r="I35" s="14" t="str">
        <x:v>No</x:v>
      </x:c>
      <x:c r="J35" s="14" t="str">
        <x:v>Alta</x:v>
      </x:c>
      <x:c r="K35" s="14" t="str">
        <x:v>Cubierto</x:v>
      </x:c>
      <x:c r="L35" s="14" t="str"/>
    </x:row>
    <x:row r="36" ht="52" customHeight="1">
      <x:c r="A36" s="14" t="str">
        <x:v>RNF6</x:v>
      </x:c>
      <x:c r="B36" s="14" t="str">
        <x:v>No Funcional</x:v>
      </x:c>
      <x:c r="C36" s="14" t="str">
        <x:v>S1</x:v>
      </x:c>
      <x:c r="D36" s="14" t="str">
        <x:v>Gestionar Libros</x:v>
      </x:c>
      <x:c r="E36" s="14" t="str">
        <x:v>Tiempo de respuesta menor a 3 segundos</x:v>
      </x:c>
      <x:c r="F36" s="14" t="str">
        <x:v>Rendimiento</x:v>
      </x:c>
      <x:c r="G36" s="14" t="str">
        <x:v>Prueba: respuesta de pantallas de catálogo</x:v>
      </x:c>
      <x:c r="H36" s="14" t="str">
        <x:v>Sí</x:v>
      </x:c>
      <x:c r="I36" s="14" t="str">
        <x:v>No</x:v>
      </x:c>
      <x:c r="J36" s="14" t="str">
        <x:v>Alta</x:v>
      </x:c>
      <x:c r="K36" s="14" t="str">
        <x:v>Cubierto</x:v>
      </x:c>
      <x:c r="L36" s="14" t="str"/>
    </x:row>
    <x:row r="37" ht="52" customHeight="1">
      <x:c r="A37" s="14" t="str">
        <x:v>RNF7</x:v>
      </x:c>
      <x:c r="B37" s="14" t="str">
        <x:v>No Funcional</x:v>
      </x:c>
      <x:c r="C37" s="14" t="str">
        <x:v>S1</x:v>
      </x:c>
      <x:c r="D37" s="14" t="str">
        <x:v>Gestionar Libros</x:v>
      </x:c>
      <x:c r="E37" s="14" t="str">
        <x:v>Interfaz multiplataforma</x:v>
      </x:c>
      <x:c r="F37" s="14" t="str">
        <x:v>Interfaz</x:v>
      </x:c>
      <x:c r="G37" s="14" t="str">
        <x:v>Validación: acceso desde distintos dispositivos</x:v>
      </x:c>
      <x:c r="H37" s="14" t="str">
        <x:v>Sí</x:v>
      </x:c>
      <x:c r="I37" s="14" t="str">
        <x:v>No</x:v>
      </x:c>
      <x:c r="J37" s="14" t="str">
        <x:v>Alta</x:v>
      </x:c>
      <x:c r="K37" s="14" t="str">
        <x:v>Cubierto</x:v>
      </x:c>
      <x:c r="L37" s="14" t="str"/>
    </x:row>
    <x:row r="38" ht="52" customHeight="1">
      <x:c r="A38" s="14" t="str">
        <x:v>RNF8</x:v>
      </x:c>
      <x:c r="B38" s="14" t="str">
        <x:v>No Funcional</x:v>
      </x:c>
      <x:c r="C38" s="14" t="str">
        <x:v>S1</x:v>
      </x:c>
      <x:c r="D38" s="14" t="str">
        <x:v>Gestionar Libros</x:v>
      </x:c>
      <x:c r="E38" s="14" t="str">
        <x:v>Interfaz amigable para el usuario</x:v>
      </x:c>
      <x:c r="F38" s="14" t="str">
        <x:v>Usabilidad</x:v>
      </x:c>
      <x:c r="G38" s="14" t="str">
        <x:v>Prueba: navegación intuitiva del catálogo</x:v>
      </x:c>
      <x:c r="H38" s="14" t="str">
        <x:v>Sí</x:v>
      </x:c>
      <x:c r="I38" s="14" t="str">
        <x:v>No</x:v>
      </x:c>
      <x:c r="J38" s="14" t="str">
        <x:v>Alta</x:v>
      </x:c>
      <x:c r="K38" s="14" t="str">
        <x:v>Cubierto</x:v>
      </x:c>
      <x:c r="L38" s="14" t="str"/>
    </x:row>
    <x:row r="39" ht="52" customHeight="1">
      <x:c r="A39" s="14" t="str">
        <x:v>RNF9</x:v>
      </x:c>
      <x:c r="B39" s="14" t="str">
        <x:v>No Funcional</x:v>
      </x:c>
      <x:c r="C39" s="14" t="str">
        <x:v>S1</x:v>
      </x:c>
      <x:c r="D39" s="14" t="str">
        <x:v>Gestionar Libros</x:v>
      </x:c>
      <x:c r="E39" s="14" t="str">
        <x:v>Navegación en máximo 3 clics</x:v>
      </x:c>
      <x:c r="F39" s="14" t="str">
        <x:v>Usabilidad</x:v>
      </x:c>
      <x:c r="G39" s="14" t="str">
        <x:v>Prueba: acceso a funciones principales</x:v>
      </x:c>
      <x:c r="H39" s="14" t="str">
        <x:v>Sí</x:v>
      </x:c>
      <x:c r="I39" s="14" t="str">
        <x:v>No</x:v>
      </x:c>
      <x:c r="J39" s="14" t="str">
        <x:v>Alta</x:v>
      </x:c>
      <x:c r="K39" s="14" t="str">
        <x:v>Cubierto</x:v>
      </x:c>
      <x:c r="L39" s="14" t="str"/>
    </x:row>
    <x:row r="40" ht="52" customHeight="1">
      <x:c r="A40" s="14" t="str">
        <x:v>RNF10</x:v>
      </x:c>
      <x:c r="B40" s="14" t="str">
        <x:v>No Funcional</x:v>
      </x:c>
      <x:c r="C40" s="14" t="str">
        <x:v>S1</x:v>
      </x:c>
      <x:c r="D40" s="14" t="str">
        <x:v>Gestionar Libros</x:v>
      </x:c>
      <x:c r="E40" s="14" t="str">
        <x:v>Consistencia entre catálogo y existencias reales</x:v>
      </x:c>
      <x:c r="F40" s="14" t="str">
        <x:v>Datos / Inventario</x:v>
      </x:c>
      <x:c r="G40" s="14" t="str">
        <x:v>Validación: catálogo coincide con inventario</x:v>
      </x:c>
      <x:c r="H40" s="14" t="str">
        <x:v>Sí</x:v>
      </x:c>
      <x:c r="I40" s="14" t="str">
        <x:v>No</x:v>
      </x:c>
      <x:c r="J40" s="14" t="str">
        <x:v>Alta</x:v>
      </x:c>
      <x:c r="K40" s="14" t="str">
        <x:v>Cubierto</x:v>
      </x:c>
      <x:c r="L40" s="14" t="str"/>
    </x:row>
    <x:row r="41" ht="52" customHeight="1">
      <x:c r="A41" s="14" t="str">
        <x:v>RNF11</x:v>
      </x:c>
      <x:c r="B41" s="14" t="str">
        <x:v>No Funcional</x:v>
      </x:c>
      <x:c r="C41" s="14" t="str">
        <x:v>S1</x:v>
      </x:c>
      <x:c r="D41" s="14" t="str">
        <x:v>Gestionar Libros</x:v>
      </x:c>
      <x:c r="E41" s="14" t="str">
        <x:v>Sistema confiable y preciso</x:v>
      </x:c>
      <x:c r="F41" s="14" t="str">
        <x:v>Calidad</x:v>
      </x:c>
      <x:c r="G41" s="14" t="str">
        <x:v>Prueba: operaciones correctas sobre libros</x:v>
      </x:c>
      <x:c r="H41" s="14" t="str">
        <x:v>Sí</x:v>
      </x:c>
      <x:c r="I41" s="14" t="str">
        <x:v>No</x:v>
      </x:c>
      <x:c r="J41" s="14" t="str">
        <x:v>Alta</x:v>
      </x:c>
      <x:c r="K41" s="14" t="str">
        <x:v>Cubierto</x:v>
      </x:c>
      <x:c r="L41" s="14" t="str"/>
    </x:row>
    <x:row r="42" ht="52" customHeight="1">
      <x:c r="A42" s="14" t="str">
        <x:v>RNF12</x:v>
      </x:c>
      <x:c r="B42" s="14" t="str">
        <x:v>No Funcional</x:v>
      </x:c>
      <x:c r="C42" s="14" t="str">
        <x:v>S1</x:v>
      </x:c>
      <x:c r="D42" s="14" t="str">
        <x:v>Buscar Libros</x:v>
      </x:c>
      <x:c r="E42" s="14" t="str">
        <x:v>Chatbot informativo</x:v>
      </x:c>
      <x:c r="F42" s="14" t="str">
        <x:v>Soporte / Búsqueda</x:v>
      </x:c>
      <x:c r="G42" s="14" t="str">
        <x:v>Evidencia: chatbot responde dudas básicas</x:v>
      </x:c>
      <x:c r="H42" s="14" t="str">
        <x:v>Sí</x:v>
      </x:c>
      <x:c r="I42" s="14" t="str">
        <x:v>Sí</x:v>
      </x:c>
      <x:c r="J42" s="14" t="str">
        <x:v>Media</x:v>
      </x:c>
      <x:c r="K42" s="14" t="str">
        <x:v>Cubierto</x:v>
      </x:c>
      <x:c r="L42" s="14" t="str"/>
    </x:row>
    <x:row r="43" ht="52" customHeight="1">
      <x:c r="A43" s="14" t="str">
        <x:v>RNF13</x:v>
      </x:c>
      <x:c r="B43" s="14" t="str">
        <x:v>No Funcional</x:v>
      </x:c>
      <x:c r="C43" s="14" t="str">
        <x:v>S1</x:v>
      </x:c>
      <x:c r="D43" s="14" t="str">
        <x:v>Buscar Libros</x:v>
      </x:c>
      <x:c r="E43" s="14" t="str">
        <x:v>Búsquedas rápidas</x:v>
      </x:c>
      <x:c r="F43" s="14" t="str">
        <x:v>Rendimiento / Búsqueda</x:v>
      </x:c>
      <x:c r="G43" s="14" t="str">
        <x:v>Prueba: consulta rápida del catálogo</x:v>
      </x:c>
      <x:c r="H43" s="14" t="str">
        <x:v>Sí</x:v>
      </x:c>
      <x:c r="I43" s="14" t="str">
        <x:v>Sí</x:v>
      </x:c>
      <x:c r="J43" s="14" t="str">
        <x:v>Alta</x:v>
      </x:c>
      <x:c r="K43" s="14" t="str">
        <x:v>Cubierto</x:v>
      </x:c>
      <x:c r="L43" s="14" t="str"/>
    </x:row>
    <x:row r="44" ht="52" customHeight="1">
      <x:c r="A44" s="14" t="str">
        <x:v>RNF14</x:v>
      </x:c>
      <x:c r="B44" s="14" t="str">
        <x:v>No Funcional</x:v>
      </x:c>
      <x:c r="C44" s="14" t="str">
        <x:v>S1</x:v>
      </x:c>
      <x:c r="D44" s="14" t="str">
        <x:v>Buscar Libros</x:v>
      </x:c>
      <x:c r="E44" s="14" t="str">
        <x:v>Interfaz responsive</x:v>
      </x:c>
      <x:c r="F44" s="14" t="str">
        <x:v>Interfaz</x:v>
      </x:c>
      <x:c r="G44" s="14" t="str">
        <x:v>Validación: visualización en web y app</x:v>
      </x:c>
      <x:c r="H44" s="14" t="str">
        <x:v>Sí</x:v>
      </x:c>
      <x:c r="I44" s="14" t="str">
        <x:v>Sí</x:v>
      </x:c>
      <x:c r="J44" s="14" t="str">
        <x:v>Alta</x:v>
      </x:c>
      <x:c r="K44" s="14" t="str">
        <x:v>Cubierto</x:v>
      </x:c>
      <x:c r="L44" s="14" t="str"/>
    </x:row>
    <x:row r="45" ht="52" customHeight="1">
      <x:c r="A45" s="14" t="str">
        <x:v>RNF15</x:v>
      </x:c>
      <x:c r="B45" s="14" t="str">
        <x:v>No Funcional</x:v>
      </x:c>
      <x:c r="C45" s="14" t="str">
        <x:v>S2</x:v>
      </x:c>
      <x:c r="D45" s="14" t="str">
        <x:v>Prestar Libros</x:v>
      </x:c>
      <x:c r="E45" s="14" t="str">
        <x:v>Integridad de datos</x:v>
      </x:c>
      <x:c r="F45" s="14" t="str">
        <x:v>Datos / Préstamos</x:v>
      </x:c>
      <x:c r="G45" s="14" t="str">
        <x:v>Prueba: datos de préstamo consistentes</x:v>
      </x:c>
      <x:c r="H45" s="14" t="str">
        <x:v>Sí</x:v>
      </x:c>
      <x:c r="I45" s="14" t="str">
        <x:v>No</x:v>
      </x:c>
      <x:c r="J45" s="14" t="str">
        <x:v>Alta</x:v>
      </x:c>
      <x:c r="K45" s="14" t="str">
        <x:v>Cubierto</x:v>
      </x:c>
      <x:c r="L45" s="14" t="str"/>
    </x:row>
    <x:row r="46" ht="52" customHeight="1">
      <x:c r="A46" s="14" t="str">
        <x:v>RNF16</x:v>
      </x:c>
      <x:c r="B46" s="14" t="str">
        <x:v>No Funcional</x:v>
      </x:c>
      <x:c r="C46" s="14" t="str">
        <x:v>S2</x:v>
      </x:c>
      <x:c r="D46" s="14" t="str">
        <x:v>Prestar Libros</x:v>
      </x:c>
      <x:c r="E46" s="14" t="str">
        <x:v>Registro de métricas de préstamo</x:v>
      </x:c>
      <x:c r="F46" s="14" t="str">
        <x:v>Métricas</x:v>
      </x:c>
      <x:c r="G46" s="14" t="str">
        <x:v>Evidencia: métricas de préstamos registradas</x:v>
      </x:c>
      <x:c r="H46" s="14" t="str">
        <x:v>Sí</x:v>
      </x:c>
      <x:c r="I46" s="14" t="str">
        <x:v>No</x:v>
      </x:c>
      <x:c r="J46" s="14" t="str">
        <x:v>Alta</x:v>
      </x:c>
      <x:c r="K46" s="14" t="str">
        <x:v>Cubierto</x:v>
      </x:c>
      <x:c r="L46" s="14" t="str"/>
    </x:row>
    <x:row r="47" ht="52" customHeight="1">
      <x:c r="A47" s="14" t="str">
        <x:v>RNF17</x:v>
      </x:c>
      <x:c r="B47" s="14" t="str">
        <x:v>No Funcional</x:v>
      </x:c>
      <x:c r="C47" s="14" t="str">
        <x:v>S2</x:v>
      </x:c>
      <x:c r="D47" s="14" t="str">
        <x:v>Prestar Libros</x:v>
      </x:c>
      <x:c r="E47" s="14" t="str">
        <x:v>Reducción de tiempos de atención</x:v>
      </x:c>
      <x:c r="F47" s="14" t="str">
        <x:v>Rendimiento / Servicio</x:v>
      </x:c>
      <x:c r="G47" s="14" t="str">
        <x:v>Comparación: atención más rápida que proceso manual</x:v>
      </x:c>
      <x:c r="H47" s="14" t="str">
        <x:v>Sí</x:v>
      </x:c>
      <x:c r="I47" s="14" t="str">
        <x:v>No</x:v>
      </x:c>
      <x:c r="J47" s="14" t="str">
        <x:v>Alta</x:v>
      </x:c>
      <x:c r="K47" s="14" t="str">
        <x:v>Cubierto</x:v>
      </x:c>
      <x:c r="L47" s="14" t="str"/>
    </x:row>
    <x:row r="48" ht="52" customHeight="1">
      <x:c r="A48" s="14" t="str">
        <x:v>RNF18</x:v>
      </x:c>
      <x:c r="B48" s="14" t="str">
        <x:v>No Funcional</x:v>
      </x:c>
      <x:c r="C48" s="14" t="str">
        <x:v>S2</x:v>
      </x:c>
      <x:c r="D48" s="14" t="str">
        <x:v>Devolver Libros</x:v>
      </x:c>
      <x:c r="E48" s="14" t="str">
        <x:v>Precisión en cálculos</x:v>
      </x:c>
      <x:c r="F48" s="14" t="str">
        <x:v>Multas</x:v>
      </x:c>
      <x:c r="G48" s="14" t="str">
        <x:v>Prueba: cálculo correcto de multas</x:v>
      </x:c>
      <x:c r="H48" s="14" t="str">
        <x:v>Sí</x:v>
      </x:c>
      <x:c r="I48" s="14" t="str">
        <x:v>No</x:v>
      </x:c>
      <x:c r="J48" s="14" t="str">
        <x:v>Alta</x:v>
      </x:c>
      <x:c r="K48" s="14" t="str">
        <x:v>Cubierto</x:v>
      </x:c>
      <x:c r="L48" s="14" t="str"/>
    </x:row>
    <x:row r="49" ht="52" customHeight="1">
      <x:c r="A49" s="14" t="str">
        <x:v>RNF19</x:v>
      </x:c>
      <x:c r="B49" s="14" t="str">
        <x:v>No Funcional</x:v>
      </x:c>
      <x:c r="C49" s="14" t="str">
        <x:v>S2</x:v>
      </x:c>
      <x:c r="D49" s="14" t="str">
        <x:v>Devolver Libros</x:v>
      </x:c>
      <x:c r="E49" s="14" t="str">
        <x:v>Historial de transacciones</x:v>
      </x:c>
      <x:c r="F49" s="14" t="str">
        <x:v>Auditoría / Préstamos</x:v>
      </x:c>
      <x:c r="G49" s="14" t="str">
        <x:v>Evidencia: historial de devoluciones y pagos</x:v>
      </x:c>
      <x:c r="H49" s="14" t="str">
        <x:v>Sí</x:v>
      </x:c>
      <x:c r="I49" s="14" t="str">
        <x:v>No</x:v>
      </x:c>
      <x:c r="J49" s="14" t="str">
        <x:v>Alta</x:v>
      </x:c>
      <x:c r="K49" s="14" t="str">
        <x:v>Cubierto</x:v>
      </x:c>
      <x:c r="L49" s="14" t="str"/>
    </x:row>
    <x:row r="50" ht="52" customHeight="1">
      <x:c r="A50" s="14" t="str">
        <x:v>RNF20</x:v>
      </x:c>
      <x:c r="B50" s="14" t="str">
        <x:v>No Funcional</x:v>
      </x:c>
      <x:c r="C50" s="14" t="str">
        <x:v>S2</x:v>
      </x:c>
      <x:c r="D50" s="14" t="str">
        <x:v>Devolver Libros</x:v>
      </x:c>
      <x:c r="E50" s="14" t="str">
        <x:v>Respaldo de información</x:v>
      </x:c>
      <x:c r="F50" s="14" t="str">
        <x:v>Base de datos</x:v>
      </x:c>
      <x:c r="G50" s="14" t="str">
        <x:v>Evidencia: respaldos de datos de multas/devoluciones</x:v>
      </x:c>
      <x:c r="H50" s="14" t="str">
        <x:v>Sí</x:v>
      </x:c>
      <x:c r="I50" s="14" t="str">
        <x:v>No</x:v>
      </x:c>
      <x:c r="J50" s="14" t="str">
        <x:v>Alta</x:v>
      </x:c>
      <x:c r="K50" s="14" t="str">
        <x:v>Cubierto</x:v>
      </x:c>
      <x:c r="L50" s="14" t="str"/>
    </x:row>
    <x:row r="51" ht="52" customHeight="1">
      <x:c r="A51" s="14" t="str">
        <x:v>RNF21</x:v>
      </x:c>
      <x:c r="B51" s="14" t="str">
        <x:v>No Funcional</x:v>
      </x:c>
      <x:c r="C51" s="14" t="str">
        <x:v>S2</x:v>
      </x:c>
      <x:c r="D51" s="14" t="str">
        <x:v>Reportes y Control</x:v>
      </x:c>
      <x:c r="E51" s="14" t="str">
        <x:v>Generación rápida de reportes</x:v>
      </x:c>
      <x:c r="F51" s="14" t="str">
        <x:v>Reportes / Rendimiento</x:v>
      </x:c>
      <x:c r="G51" s="14" t="str">
        <x:v>Prueba: reportes generados en tiempo aceptable</x:v>
      </x:c>
      <x:c r="H51" s="14" t="str">
        <x:v>Sí</x:v>
      </x:c>
      <x:c r="I51" s="14" t="str">
        <x:v>No</x:v>
      </x:c>
      <x:c r="J51" s="14" t="str">
        <x:v>Alta</x:v>
      </x:c>
      <x:c r="K51" s="14" t="str">
        <x:v>Cubierto</x:v>
      </x:c>
      <x:c r="L51" s="14" t="str"/>
    </x:row>
    <x:row r="52" ht="52" customHeight="1">
      <x:c r="A52" s="14" t="str">
        <x:v>RNF22</x:v>
      </x:c>
      <x:c r="B52" s="14" t="str">
        <x:v>No Funcional</x:v>
      </x:c>
      <x:c r="C52" s="14" t="str">
        <x:v>S2</x:v>
      </x:c>
      <x:c r="D52" s="14" t="str">
        <x:v>Reportes y Control</x:v>
      </x:c>
      <x:c r="E52" s="14" t="str">
        <x:v>Escalabilidad del sistema</x:v>
      </x:c>
      <x:c r="F52" s="14" t="str">
        <x:v>Arquitectura</x:v>
      </x:c>
      <x:c r="G52" s="14" t="str">
        <x:v>Evidencia: diseño preparado para crecimiento</x:v>
      </x:c>
      <x:c r="H52" s="14" t="str">
        <x:v>Sí</x:v>
      </x:c>
      <x:c r="I52" s="14" t="str">
        <x:v>No</x:v>
      </x:c>
      <x:c r="J52" s="14" t="str">
        <x:v>Alta</x:v>
      </x:c>
      <x:c r="K52" s="14" t="str">
        <x:v>Cubierto</x:v>
      </x:c>
      <x:c r="L52" s="14" t="str"/>
    </x:row>
    <x:row r="53" ht="52" customHeight="1">
      <x:c r="A53" s="14" t="str">
        <x:v>RNF23</x:v>
      </x:c>
      <x:c r="B53" s="14" t="str">
        <x:v>No Funcional</x:v>
      </x:c>
      <x:c r="C53" s="14" t="str">
        <x:v>S2</x:v>
      </x:c>
      <x:c r="D53" s="14" t="str">
        <x:v>Reportes y Control</x:v>
      </x:c>
      <x:c r="E53" s="14" t="str">
        <x:v>Facilidad de actualización y mantenibilidad</x:v>
      </x:c>
      <x:c r="F53" s="14" t="str">
        <x:v>Mantenibilidad</x:v>
      </x:c>
      <x:c r="G53" s="14" t="str">
        <x:v>Evidencia: estructura modular y documentación</x:v>
      </x:c>
      <x:c r="H53" s="14" t="str">
        <x:v>Sí</x:v>
      </x:c>
      <x:c r="I53" s="14" t="str">
        <x:v>No</x:v>
      </x:c>
      <x:c r="J53" s="14" t="str">
        <x:v>Alta</x:v>
      </x:c>
      <x:c r="K53" s="14" t="str">
        <x:v>Cubierto</x:v>
      </x:c>
      <x:c r="L53" s="14" t="str"/>
    </x:row>
  </x:sheetData>
  <x:conditionalFormatting sqref="K2:K53">
    <x:cfRule type="expression" dxfId="0" priority="1">
      <x:formula>$K2="Cubierto"</x:formula>
    </x:cfRule>
  </x:conditionalFormatting>
  <x:conditionalFormatting sqref="B2:B53">
    <x:cfRule type="expression" dxfId="1" priority="2">
      <x:formula>$B2="Funcional"</x:formula>
    </x:cfRule>
    <x:cfRule type="expression" dxfId="2" priority="3">
      <x:formula>$B2="No Funcional"</x:formula>
    </x:cfRule>
  </x:conditionalFormatting>
  <x:conditionalFormatting sqref="H2:I53">
    <x:cfRule type="expression" dxfId="3" priority="4">
      <x:formula>H2="Sí"</x:formula>
    </x:cfRule>
    <x:cfRule type="expression" dxfId="4" priority="5">
      <x:formula>H2="No"</x:formula>
    </x:cfRule>
  </x:conditionalFormatting>
  <x:conditionalFormatting sqref="J2:J53">
    <x:cfRule type="expression" dxfId="5" priority="6">
      <x:formula>$J2="Alta"</x:formula>
    </x:cfRule>
    <x:cfRule type="expression" dxfId="6" priority="7">
      <x:formula>$J2="Media"</x:formula>
    </x:cfRule>
  </x:conditionalFormatting>
  <x:dataValidations count="3">
    <x:dataValidation type="list" sqref="K2:K252">
      <x:formula1>"Cubierto,Parcial,Pendiente"</x:formula1>
    </x:dataValidation>
    <x:dataValidation type="list" sqref="J2:J252">
      <x:formula1>"Alta,Media,Baja"</x:formula1>
    </x:dataValidation>
    <x:dataValidation type="list" sqref="H2:I252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829da32bb543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3" max="3" width="22" hidden="0" customWidth="1"/>
  </x:cols>
  <x:sheetData>
    <x:row r="1">
      <x:c r="A1" s="17" t="str">
        <x:v>Resumen de Matriz de Rastreabilidad</x:v>
      </x:c>
    </x:row>
    <x:row r="2">
      <x:c r="A2" s="21" t="str">
        <x:v>Proyecto: Sistema de Biblioteca Universidad Ducky | Generado: 2026-05-06</x:v>
      </x:c>
    </x:row>
    <x:row r="4">
      <x:c r="A4" s="5" t="str">
        <x:v>Indicador</x:v>
      </x:c>
      <x:c r="B4" s="5" t="str">
        <x:v>Valor</x:v>
      </x:c>
      <x:c r="D4" s="26" t="str">
        <x:v>Sprint</x:v>
      </x:c>
      <x:c r="E4" s="26" t="str">
        <x:v>Enfoque</x:v>
      </x:c>
      <x:c r="F4" s="26" t="str">
        <x:v>RF</x:v>
      </x:c>
      <x:c r="G4" s="26" t="str">
        <x:v>RNF</x:v>
      </x:c>
      <x:c r="H4" s="26" t="str">
        <x:v>Total</x:v>
      </x:c>
    </x:row>
    <x:row r="5">
      <x:c r="A5" s="32" t="str">
        <x:v>Total requerimientos</x:v>
      </x:c>
      <x:c r="B5" s="12" t="n">
        <x:f>COUNTA('Matriz Rastreabilidad'!A2:A53)</x:f>
        <x:v>52</x:v>
      </x:c>
      <x:c r="D5" s="12" t="str">
        <x:v>S0</x:v>
      </x:c>
      <x:c r="E5" s="12" t="str">
        <x:v>Gestión de usuarios, roles y seguridad</x:v>
      </x:c>
      <x:c r="F5" s="12" t="n">
        <x:f>COUNTIFS('Matriz Rastreabilidad'!$C:$C,D5,'Matriz Rastreabilidad'!$B:$B,"Funcional")</x:f>
        <x:v>4</x:v>
      </x:c>
      <x:c r="G5" s="12" t="n">
        <x:f>COUNTIFS('Matriz Rastreabilidad'!$C:$C,D5,'Matriz Rastreabilidad'!$B:$B,"No Funcional")</x:f>
        <x:v>5</x:v>
      </x:c>
      <x:c r="H5" s="12" t="n">
        <x:f>F5+G5</x:f>
        <x:v>9</x:v>
      </x:c>
    </x:row>
    <x:row r="6">
      <x:c r="A6" s="32" t="str">
        <x:v>Funcionales (RF)</x:v>
      </x:c>
      <x:c r="B6" s="12" t="n">
        <x:f>COUNTIF('Matriz Rastreabilidad'!B2:B53,"Funcional")</x:f>
        <x:v>29</x:v>
      </x:c>
      <x:c r="D6" s="12" t="str">
        <x:v>S1</x:v>
      </x:c>
      <x:c r="E6" s="12" t="str">
        <x:v>Catálogo, inventario y búsqueda de libros</x:v>
      </x:c>
      <x:c r="F6" s="12" t="n">
        <x:f>COUNTIFS('Matriz Rastreabilidad'!$C:$C,D6,'Matriz Rastreabilidad'!$B:$B,"Funcional")</x:f>
        <x:v>9</x:v>
      </x:c>
      <x:c r="G6" s="12" t="n">
        <x:f>COUNTIFS('Matriz Rastreabilidad'!$C:$C,D6,'Matriz Rastreabilidad'!$B:$B,"No Funcional")</x:f>
        <x:v>9</x:v>
      </x:c>
      <x:c r="H6" s="12" t="n">
        <x:f>F6+G6</x:f>
        <x:v>18</x:v>
      </x:c>
    </x:row>
    <x:row r="7">
      <x:c r="A7" s="32" t="str">
        <x:v>No funcionales (RNF)</x:v>
      </x:c>
      <x:c r="B7" s="12" t="n">
        <x:f>COUNTIF('Matriz Rastreabilidad'!B2:B53,"No Funcional")</x:f>
        <x:v>23</x:v>
      </x:c>
      <x:c r="D7" s="12" t="str">
        <x:v>S2</x:v>
      </x:c>
      <x:c r="E7" s="12" t="str">
        <x:v>Préstamos, devoluciones, multas y reportes</x:v>
      </x:c>
      <x:c r="F7" s="12" t="n">
        <x:f>COUNTIFS('Matriz Rastreabilidad'!$C:$C,D7,'Matriz Rastreabilidad'!$B:$B,"Funcional")</x:f>
        <x:v>16</x:v>
      </x:c>
      <x:c r="G7" s="12" t="n">
        <x:f>COUNTIFS('Matriz Rastreabilidad'!$C:$C,D7,'Matriz Rastreabilidad'!$B:$B,"No Funcional")</x:f>
        <x:v>9</x:v>
      </x:c>
      <x:c r="H7" s="12" t="n">
        <x:f>F7+G7</x:f>
        <x:v>25</x:v>
      </x:c>
    </x:row>
    <x:row r="8">
      <x:c r="A8" s="32" t="str">
        <x:v>Cubiertos</x:v>
      </x:c>
      <x:c r="B8" s="12" t="n">
        <x:f>COUNTIF('Matriz Rastreabilidad'!K2:K53,"Cubierto")</x:f>
        <x:v>52</x:v>
      </x:c>
    </x:row>
    <x:row r="9">
      <x:c r="A9" s="32" t="str">
        <x:v>Cobertura</x:v>
      </x:c>
      <x:c r="B9" s="33" t="n">
        <x:f>B8/B5</x:f>
        <x:v>1</x:v>
      </x:c>
    </x:row>
    <x:row r="10">
      <x:c r="A10" s="32" t="str">
        <x:v>Web</x:v>
      </x:c>
      <x:c r="B10" s="12" t="n">
        <x:f>COUNTIF('Matriz Rastreabilidad'!H2:H53,"Sí")</x:f>
        <x:v>52</x:v>
      </x:c>
    </x:row>
    <x:row r="11">
      <x:c r="A11" s="32" t="str">
        <x:v>App</x:v>
      </x:c>
      <x:c r="B11" s="12" t="n">
        <x:f>COUNTIF('Matriz Rastreabilidad'!I2:I53,"Sí")</x:f>
        <x:v>6</x:v>
      </x:c>
    </x:row>
    <x:row r="12">
      <x:c r="A12" s="38" t="str">
        <x:v>La matriz vincula cada RF/RNF con sprint, módulo, plataforma y evidencia/caso de uso para demostrar cobertura del proyecto.</x:v>
      </x:c>
    </x:row>
    <x:row r="14">
      <x:c r="A14" s="26" t="str">
        <x:v>Función</x:v>
      </x:c>
      <x:c r="B14" s="26" t="str">
        <x:v>Requerimientos</x:v>
      </x:c>
      <x:c r="C14" s="26" t="str">
        <x:v>RF</x:v>
      </x:c>
      <x:c r="D14" s="26" t="str">
        <x:v>RNF</x:v>
      </x:c>
    </x:row>
    <x:row r="15">
      <x:c r="A15" s="12" t="str">
        <x:v>Buscar Libros</x:v>
      </x:c>
      <x:c r="B15" s="12" t="n">
        <x:f>COUNTIF('Matriz Rastreabilidad'!$D:$D,A15)</x:f>
        <x:v>6</x:v>
      </x:c>
      <x:c r="C15" s="12" t="n">
        <x:f>COUNTIFS('Matriz Rastreabilidad'!$D:$D,A15,'Matriz Rastreabilidad'!$B:$B,"Funcional")</x:f>
        <x:v>3</x:v>
      </x:c>
      <x:c r="D15" s="12" t="n">
        <x:f>COUNTIFS('Matriz Rastreabilidad'!$D:$D,A15,'Matriz Rastreabilidad'!$B:$B,"No Funcional")</x:f>
        <x:v>3</x:v>
      </x:c>
    </x:row>
    <x:row r="16">
      <x:c r="A16" s="12" t="str">
        <x:v>Devolver Libros</x:v>
      </x:c>
      <x:c r="B16" s="12" t="n">
        <x:f>COUNTIF('Matriz Rastreabilidad'!$D:$D,A16)</x:f>
        <x:v>7</x:v>
      </x:c>
      <x:c r="C16" s="12" t="n">
        <x:f>COUNTIFS('Matriz Rastreabilidad'!$D:$D,A16,'Matriz Rastreabilidad'!$B:$B,"Funcional")</x:f>
        <x:v>4</x:v>
      </x:c>
      <x:c r="D16" s="12" t="n">
        <x:f>COUNTIFS('Matriz Rastreabilidad'!$D:$D,A16,'Matriz Rastreabilidad'!$B:$B,"No Funcional")</x:f>
        <x:v>3</x:v>
      </x:c>
    </x:row>
    <x:row r="17">
      <x:c r="A17" s="12" t="str">
        <x:v>Gestionar Libros</x:v>
      </x:c>
      <x:c r="B17" s="12" t="n">
        <x:f>COUNTIF('Matriz Rastreabilidad'!$D:$D,A17)</x:f>
        <x:v>12</x:v>
      </x:c>
      <x:c r="C17" s="12" t="n">
        <x:f>COUNTIFS('Matriz Rastreabilidad'!$D:$D,A17,'Matriz Rastreabilidad'!$B:$B,"Funcional")</x:f>
        <x:v>6</x:v>
      </x:c>
      <x:c r="D17" s="12" t="n">
        <x:f>COUNTIFS('Matriz Rastreabilidad'!$D:$D,A17,'Matriz Rastreabilidad'!$B:$B,"No Funcional")</x:f>
        <x:v>6</x:v>
      </x:c>
    </x:row>
    <x:row r="18">
      <x:c r="A18" s="12" t="str">
        <x:v>Gestión de Usuarios</x:v>
      </x:c>
      <x:c r="B18" s="12" t="n">
        <x:f>COUNTIF('Matriz Rastreabilidad'!$D:$D,A18)</x:f>
        <x:v>9</x:v>
      </x:c>
      <x:c r="C18" s="12" t="n">
        <x:f>COUNTIFS('Matriz Rastreabilidad'!$D:$D,A18,'Matriz Rastreabilidad'!$B:$B,"Funcional")</x:f>
        <x:v>4</x:v>
      </x:c>
      <x:c r="D18" s="12" t="n">
        <x:f>COUNTIFS('Matriz Rastreabilidad'!$D:$D,A18,'Matriz Rastreabilidad'!$B:$B,"No Funcional")</x:f>
        <x:v>5</x:v>
      </x:c>
    </x:row>
    <x:row r="19">
      <x:c r="A19" s="12" t="str">
        <x:v>Prestar Libros</x:v>
      </x:c>
      <x:c r="B19" s="12" t="n">
        <x:f>COUNTIF('Matriz Rastreabilidad'!$D:$D,A19)</x:f>
        <x:v>11</x:v>
      </x:c>
      <x:c r="C19" s="12" t="n">
        <x:f>COUNTIFS('Matriz Rastreabilidad'!$D:$D,A19,'Matriz Rastreabilidad'!$B:$B,"Funcional")</x:f>
        <x:v>8</x:v>
      </x:c>
      <x:c r="D19" s="12" t="n">
        <x:f>COUNTIFS('Matriz Rastreabilidad'!$D:$D,A19,'Matriz Rastreabilidad'!$B:$B,"No Funcional")</x:f>
        <x:v>3</x:v>
      </x:c>
    </x:row>
    <x:row r="20">
      <x:c r="A20" s="12" t="str">
        <x:v>Reportes y Control</x:v>
      </x:c>
      <x:c r="B20" s="12" t="n">
        <x:f>COUNTIF('Matriz Rastreabilidad'!$D:$D,A20)</x:f>
        <x:v>7</x:v>
      </x:c>
      <x:c r="C20" s="12" t="n">
        <x:f>COUNTIFS('Matriz Rastreabilidad'!$D:$D,A20,'Matriz Rastreabilidad'!$B:$B,"Funcional")</x:f>
        <x:v>4</x:v>
      </x:c>
      <x:c r="D20" s="12" t="n">
        <x:f>COUNTIFS('Matriz Rastreabilidad'!$D:$D,A20,'Matriz Rastreabilidad'!$B:$B,"No Funcional")</x:f>
        <x:v>3</x:v>
      </x:c>
    </x:row>
  </x:sheetData>
  <x:mergeCells>
    <x:mergeCell ref="A1:H1"/>
    <x:mergeCell ref="A2:H2"/>
    <x:mergeCell ref="A12:H12"/>
  </x:mergeCells>
  <x:pageMargins left="0.7" right="0.7" top="0.75" bottom="0.75" header="0.3" footer="0.3"/>
  <x:drawing xmlns:r="http://schemas.openxmlformats.org/officeDocument/2006/relationships" r:id="Rec167249726d471c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24" hidden="0" customWidth="1"/>
    <x:col min="5" max="5" width="70" hidden="0" customWidth="1"/>
  </x:cols>
  <x:sheetData>
    <x:row r="1" ht="40" customHeight="1">
      <x:c r="A1" s="26" t="str">
        <x:v>ID</x:v>
      </x:c>
      <x:c r="B1" s="26" t="str">
        <x:v>Tipo</x:v>
      </x:c>
      <x:c r="C1" s="26" t="str">
        <x:v>Sprint</x:v>
      </x:c>
      <x:c r="D1" s="26" t="str">
        <x:v>Función</x:v>
      </x:c>
      <x:c r="E1" s="26" t="str">
        <x:v>Descripción</x:v>
      </x:c>
    </x:row>
    <x:row r="2" ht="40" customHeight="1">
      <x:c r="A2" s="12" t="str">
        <x:v>RF1</x:v>
      </x:c>
      <x:c r="B2" s="12" t="str">
        <x:v>Funcional</x:v>
      </x:c>
      <x:c r="C2" s="12" t="str">
        <x:v>S0</x:v>
      </x:c>
      <x:c r="D2" s="12" t="str">
        <x:v>Gestión de Usuarios</x:v>
      </x:c>
      <x:c r="E2" s="12" t="str">
        <x:v>Creación de perfiles de usuario</x:v>
      </x:c>
    </x:row>
    <x:row r="3" ht="40" customHeight="1">
      <x:c r="A3" s="12" t="str">
        <x:v>RF2</x:v>
      </x:c>
      <x:c r="B3" s="12" t="str">
        <x:v>Funcional</x:v>
      </x:c>
      <x:c r="C3" s="12" t="str">
        <x:v>S0</x:v>
      </x:c>
      <x:c r="D3" s="12" t="str">
        <x:v>Gestión de Usuarios</x:v>
      </x:c>
      <x:c r="E3" s="12" t="str">
        <x:v>Gestión de roles: Administrador, Bibliotecario, Profesor, Alumno y Colaborador</x:v>
      </x:c>
    </x:row>
    <x:row r="4" ht="40" customHeight="1">
      <x:c r="A4" s="12" t="str">
        <x:v>RF3</x:v>
      </x:c>
      <x:c r="B4" s="12" t="str">
        <x:v>Funcional</x:v>
      </x:c>
      <x:c r="C4" s="12" t="str">
        <x:v>S0</x:v>
      </x:c>
      <x:c r="D4" s="12" t="str">
        <x:v>Gestión de Usuarios</x:v>
      </x:c>
      <x:c r="E4" s="12" t="str">
        <x:v>Consulta de estado del usuario: préstamos activos y multas</x:v>
      </x:c>
    </x:row>
    <x:row r="5" ht="40" customHeight="1">
      <x:c r="A5" s="12" t="str">
        <x:v>RF4</x:v>
      </x:c>
      <x:c r="B5" s="12" t="str">
        <x:v>Funcional</x:v>
      </x:c>
      <x:c r="C5" s="12" t="str">
        <x:v>S0</x:v>
      </x:c>
      <x:c r="D5" s="12" t="str">
        <x:v>Gestión de Usuarios</x:v>
      </x:c>
      <x:c r="E5" s="12" t="str">
        <x:v>Bloqueo automático por adeudos</x:v>
      </x:c>
    </x:row>
    <x:row r="6" ht="40" customHeight="1">
      <x:c r="A6" s="12" t="str">
        <x:v>RF5</x:v>
      </x:c>
      <x:c r="B6" s="12" t="str">
        <x:v>Funcional</x:v>
      </x:c>
      <x:c r="C6" s="12" t="str">
        <x:v>S1</x:v>
      </x:c>
      <x:c r="D6" s="12" t="str">
        <x:v>Gestionar Libros</x:v>
      </x:c>
      <x:c r="E6" s="12" t="str">
        <x:v>Generación de ficha bibliográfica</x:v>
      </x:c>
    </x:row>
    <x:row r="7" ht="40" customHeight="1">
      <x:c r="A7" s="12" t="str">
        <x:v>RF6</x:v>
      </x:c>
      <x:c r="B7" s="12" t="str">
        <x:v>Funcional</x:v>
      </x:c>
      <x:c r="C7" s="12" t="str">
        <x:v>S1</x:v>
      </x:c>
      <x:c r="D7" s="12" t="str">
        <x:v>Gestionar Libros</x:v>
      </x:c>
      <x:c r="E7" s="12" t="str">
        <x:v>Alta de libros</x:v>
      </x:c>
    </x:row>
    <x:row r="8" ht="40" customHeight="1">
      <x:c r="A8" s="12" t="str">
        <x:v>RF7</x:v>
      </x:c>
      <x:c r="B8" s="12" t="str">
        <x:v>Funcional</x:v>
      </x:c>
      <x:c r="C8" s="12" t="str">
        <x:v>S1</x:v>
      </x:c>
      <x:c r="D8" s="12" t="str">
        <x:v>Gestionar Libros</x:v>
      </x:c>
      <x:c r="E8" s="12" t="str">
        <x:v>Baja de libros</x:v>
      </x:c>
    </x:row>
    <x:row r="9" ht="40" customHeight="1">
      <x:c r="A9" s="12" t="str">
        <x:v>RF8</x:v>
      </x:c>
      <x:c r="B9" s="12" t="str">
        <x:v>Funcional</x:v>
      </x:c>
      <x:c r="C9" s="12" t="str">
        <x:v>S1</x:v>
      </x:c>
      <x:c r="D9" s="12" t="str">
        <x:v>Gestionar Libros</x:v>
      </x:c>
      <x:c r="E9" s="12" t="str">
        <x:v>Modificación de libros</x:v>
      </x:c>
    </x:row>
    <x:row r="10" ht="40" customHeight="1">
      <x:c r="A10" s="12" t="str">
        <x:v>RF9</x:v>
      </x:c>
      <x:c r="B10" s="12" t="str">
        <x:v>Funcional</x:v>
      </x:c>
      <x:c r="C10" s="12" t="str">
        <x:v>S1</x:v>
      </x:c>
      <x:c r="D10" s="12" t="str">
        <x:v>Gestionar Libros</x:v>
      </x:c>
      <x:c r="E10" s="12" t="str">
        <x:v>Control de estados: disponible, prestado, dañado, perdido u obsoleto</x:v>
      </x:c>
    </x:row>
    <x:row r="11" ht="40" customHeight="1">
      <x:c r="A11" s="12" t="str">
        <x:v>RF10</x:v>
      </x:c>
      <x:c r="B11" s="12" t="str">
        <x:v>Funcional</x:v>
      </x:c>
      <x:c r="C11" s="12" t="str">
        <x:v>S1</x:v>
      </x:c>
      <x:c r="D11" s="12" t="str">
        <x:v>Gestionar Libros</x:v>
      </x:c>
      <x:c r="E11" s="12" t="str">
        <x:v>Solicitud de compra de libros</x:v>
      </x:c>
    </x:row>
    <x:row r="12" ht="40" customHeight="1">
      <x:c r="A12" s="12" t="str">
        <x:v>RF11</x:v>
      </x:c>
      <x:c r="B12" s="12" t="str">
        <x:v>Funcional</x:v>
      </x:c>
      <x:c r="C12" s="12" t="str">
        <x:v>S1</x:v>
      </x:c>
      <x:c r="D12" s="12" t="str">
        <x:v>Buscar Libros</x:v>
      </x:c>
      <x:c r="E12" s="12" t="str">
        <x:v>Consulta de existencia y ubicación por filtros</x:v>
      </x:c>
    </x:row>
    <x:row r="13" ht="40" customHeight="1">
      <x:c r="A13" s="12" t="str">
        <x:v>RF12</x:v>
      </x:c>
      <x:c r="B13" s="12" t="str">
        <x:v>Funcional</x:v>
      </x:c>
      <x:c r="C13" s="12" t="str">
        <x:v>S1</x:v>
      </x:c>
      <x:c r="D13" s="12" t="str">
        <x:v>Buscar Libros</x:v>
      </x:c>
      <x:c r="E13" s="12" t="str">
        <x:v>Visualización de disponibilidad en tiempo real</x:v>
      </x:c>
    </x:row>
    <x:row r="14" ht="40" customHeight="1">
      <x:c r="A14" s="12" t="str">
        <x:v>RF13</x:v>
      </x:c>
      <x:c r="B14" s="12" t="str">
        <x:v>Funcional</x:v>
      </x:c>
      <x:c r="C14" s="12" t="str">
        <x:v>S1</x:v>
      </x:c>
      <x:c r="D14" s="12" t="str">
        <x:v>Buscar Libros</x:v>
      </x:c>
      <x:c r="E14" s="12" t="str">
        <x:v>Listado de libros por diversos filtros</x:v>
      </x:c>
    </x:row>
    <x:row r="15" ht="40" customHeight="1">
      <x:c r="A15" s="12" t="str">
        <x:v>RF14</x:v>
      </x:c>
      <x:c r="B15" s="12" t="str">
        <x:v>Funcional</x:v>
      </x:c>
      <x:c r="C15" s="12" t="str">
        <x:v>S2</x:v>
      </x:c>
      <x:c r="D15" s="12" t="str">
        <x:v>Prestar Libros</x:v>
      </x:c>
      <x:c r="E15" s="12" t="str">
        <x:v>Validación de condición del solicitante</x:v>
      </x:c>
    </x:row>
    <x:row r="16" ht="40" customHeight="1">
      <x:c r="A16" s="12" t="str">
        <x:v>RF15</x:v>
      </x:c>
      <x:c r="B16" s="12" t="str">
        <x:v>Funcional</x:v>
      </x:c>
      <x:c r="C16" s="12" t="str">
        <x:v>S2</x:v>
      </x:c>
      <x:c r="D16" s="12" t="str">
        <x:v>Prestar Libros</x:v>
      </x:c>
      <x:c r="E16" s="12" t="str">
        <x:v>Validación de condición del libro</x:v>
      </x:c>
    </x:row>
    <x:row r="17" ht="40" customHeight="1">
      <x:c r="A17" s="12" t="str">
        <x:v>RF16</x:v>
      </x:c>
      <x:c r="B17" s="12" t="str">
        <x:v>Funcional</x:v>
      </x:c>
      <x:c r="C17" s="12" t="str">
        <x:v>S2</x:v>
      </x:c>
      <x:c r="D17" s="12" t="str">
        <x:v>Prestar Libros</x:v>
      </x:c>
      <x:c r="E17" s="12" t="str">
        <x:v>Registro de préstamo</x:v>
      </x:c>
    </x:row>
    <x:row r="18" ht="40" customHeight="1">
      <x:c r="A18" s="12" t="str">
        <x:v>RF17</x:v>
      </x:c>
      <x:c r="B18" s="12" t="str">
        <x:v>Funcional</x:v>
      </x:c>
      <x:c r="C18" s="12" t="str">
        <x:v>S2</x:v>
      </x:c>
      <x:c r="D18" s="12" t="str">
        <x:v>Prestar Libros</x:v>
      </x:c>
      <x:c r="E18" s="12" t="str">
        <x:v>Generación de recibo por email, WhatsApp o impresión</x:v>
      </x:c>
    </x:row>
    <x:row r="19" ht="40" customHeight="1">
      <x:c r="A19" s="12" t="str">
        <x:v>RF18</x:v>
      </x:c>
      <x:c r="B19" s="12" t="str">
        <x:v>Funcional</x:v>
      </x:c>
      <x:c r="C19" s="12" t="str">
        <x:v>S2</x:v>
      </x:c>
      <x:c r="D19" s="12" t="str">
        <x:v>Prestar Libros</x:v>
      </x:c>
      <x:c r="E19" s="12" t="str">
        <x:v>Renovación de préstamo</x:v>
      </x:c>
    </x:row>
    <x:row r="20" ht="40" customHeight="1">
      <x:c r="A20" s="12" t="str">
        <x:v>RF19</x:v>
      </x:c>
      <x:c r="B20" s="12" t="str">
        <x:v>Funcional</x:v>
      </x:c>
      <x:c r="C20" s="12" t="str">
        <x:v>S2</x:v>
      </x:c>
      <x:c r="D20" s="12" t="str">
        <x:v>Prestar Libros</x:v>
      </x:c>
      <x:c r="E20" s="12" t="str">
        <x:v>Gestión de lista de espera</x:v>
      </x:c>
    </x:row>
    <x:row r="21" ht="40" customHeight="1">
      <x:c r="A21" s="12" t="str">
        <x:v>RF20</x:v>
      </x:c>
      <x:c r="B21" s="12" t="str">
        <x:v>Funcional</x:v>
      </x:c>
      <x:c r="C21" s="12" t="str">
        <x:v>S2</x:v>
      </x:c>
      <x:c r="D21" s="12" t="str">
        <x:v>Prestar Libros</x:v>
      </x:c>
      <x:c r="E21" s="12" t="str">
        <x:v>Validación automática de multas pendientes</x:v>
      </x:c>
    </x:row>
    <x:row r="22" ht="40" customHeight="1">
      <x:c r="A22" s="12" t="str">
        <x:v>RF21</x:v>
      </x:c>
      <x:c r="B22" s="12" t="str">
        <x:v>Funcional</x:v>
      </x:c>
      <x:c r="C22" s="12" t="str">
        <x:v>S2</x:v>
      </x:c>
      <x:c r="D22" s="12" t="str">
        <x:v>Prestar Libros</x:v>
      </x:c>
      <x:c r="E22" s="12" t="str">
        <x:v>Límite máximo de libros por usuario</x:v>
      </x:c>
    </x:row>
    <x:row r="23" ht="40" customHeight="1">
      <x:c r="A23" s="12" t="str">
        <x:v>RF22</x:v>
      </x:c>
      <x:c r="B23" s="12" t="str">
        <x:v>Funcional</x:v>
      </x:c>
      <x:c r="C23" s="12" t="str">
        <x:v>S2</x:v>
      </x:c>
      <x:c r="D23" s="12" t="str">
        <x:v>Devolver Libros</x:v>
      </x:c>
      <x:c r="E23" s="12" t="str">
        <x:v>Registro de devolución de libro</x:v>
      </x:c>
    </x:row>
    <x:row r="24" ht="40" customHeight="1">
      <x:c r="A24" s="12" t="str">
        <x:v>RF23</x:v>
      </x:c>
      <x:c r="B24" s="12" t="str">
        <x:v>Funcional</x:v>
      </x:c>
      <x:c r="C24" s="12" t="str">
        <x:v>S2</x:v>
      </x:c>
      <x:c r="D24" s="12" t="str">
        <x:v>Devolver Libros</x:v>
      </x:c>
      <x:c r="E24" s="12" t="str">
        <x:v>Generación automática de multa por entrega extemporánea</x:v>
      </x:c>
    </x:row>
    <x:row r="25" ht="40" customHeight="1">
      <x:c r="A25" s="12" t="str">
        <x:v>RF24</x:v>
      </x:c>
      <x:c r="B25" s="12" t="str">
        <x:v>Funcional</x:v>
      </x:c>
      <x:c r="C25" s="12" t="str">
        <x:v>S2</x:v>
      </x:c>
      <x:c r="D25" s="12" t="str">
        <x:v>Devolver Libros</x:v>
      </x:c>
      <x:c r="E25" s="12" t="str">
        <x:v>Generación de multa por daño o pérdida</x:v>
      </x:c>
    </x:row>
    <x:row r="26" ht="40" customHeight="1">
      <x:c r="A26" s="12" t="str">
        <x:v>RF25</x:v>
      </x:c>
      <x:c r="B26" s="12" t="str">
        <x:v>Funcional</x:v>
      </x:c>
      <x:c r="C26" s="12" t="str">
        <x:v>S2</x:v>
      </x:c>
      <x:c r="D26" s="12" t="str">
        <x:v>Devolver Libros</x:v>
      </x:c>
      <x:c r="E26" s="12" t="str">
        <x:v>Registro de pago de multa</x:v>
      </x:c>
    </x:row>
    <x:row r="27" ht="40" customHeight="1">
      <x:c r="A27" s="12" t="str">
        <x:v>RF26</x:v>
      </x:c>
      <x:c r="B27" s="12" t="str">
        <x:v>Funcional</x:v>
      </x:c>
      <x:c r="C27" s="12" t="str">
        <x:v>S2</x:v>
      </x:c>
      <x:c r="D27" s="12" t="str">
        <x:v>Reportes y Control</x:v>
      </x:c>
      <x:c r="E27" s="12" t="str">
        <x:v>Reporte de préstamos activos</x:v>
      </x:c>
    </x:row>
    <x:row r="28" ht="40" customHeight="1">
      <x:c r="A28" s="12" t="str">
        <x:v>RF27</x:v>
      </x:c>
      <x:c r="B28" s="12" t="str">
        <x:v>Funcional</x:v>
      </x:c>
      <x:c r="C28" s="12" t="str">
        <x:v>S2</x:v>
      </x:c>
      <x:c r="D28" s="12" t="str">
        <x:v>Reportes y Control</x:v>
      </x:c>
      <x:c r="E28" s="12" t="str">
        <x:v>Reporte de multas y usuarios suspendidos</x:v>
      </x:c>
    </x:row>
    <x:row r="29" ht="40" customHeight="1">
      <x:c r="A29" s="12" t="str">
        <x:v>RF28</x:v>
      </x:c>
      <x:c r="B29" s="12" t="str">
        <x:v>Funcional</x:v>
      </x:c>
      <x:c r="C29" s="12" t="str">
        <x:v>S2</x:v>
      </x:c>
      <x:c r="D29" s="12" t="str">
        <x:v>Reportes y Control</x:v>
      </x:c>
      <x:c r="E29" s="12" t="str">
        <x:v>Historial de préstamos por usuario y libro</x:v>
      </x:c>
    </x:row>
    <x:row r="30" ht="40" customHeight="1">
      <x:c r="A30" s="12" t="str">
        <x:v>RF29</x:v>
      </x:c>
      <x:c r="B30" s="12" t="str">
        <x:v>Funcional</x:v>
      </x:c>
      <x:c r="C30" s="12" t="str">
        <x:v>S2</x:v>
      </x:c>
      <x:c r="D30" s="12" t="str">
        <x:v>Reportes y Control</x:v>
      </x:c>
      <x:c r="E30" s="12" t="str">
        <x:v>Reporte de libros más prestados</x:v>
      </x:c>
    </x:row>
    <x:row r="31" ht="40" customHeight="1">
      <x:c r="A31" s="12" t="str">
        <x:v>RNF1</x:v>
      </x:c>
      <x:c r="B31" s="12" t="str">
        <x:v>No Funcional</x:v>
      </x:c>
      <x:c r="C31" s="12" t="str">
        <x:v>S0</x:v>
      </x:c>
      <x:c r="D31" s="12" t="str">
        <x:v>Gestión de Usuarios</x:v>
      </x:c>
      <x:c r="E31" s="12" t="str">
        <x:v>Autenticación User/Password</x:v>
      </x:c>
    </x:row>
    <x:row r="32" ht="40" customHeight="1">
      <x:c r="A32" s="12" t="str">
        <x:v>RNF2</x:v>
      </x:c>
      <x:c r="B32" s="12" t="str">
        <x:v>No Funcional</x:v>
      </x:c>
      <x:c r="C32" s="12" t="str">
        <x:v>S0</x:v>
      </x:c>
      <x:c r="D32" s="12" t="str">
        <x:v>Gestión de Usuarios</x:v>
      </x:c>
      <x:c r="E32" s="12" t="str">
        <x:v>Control de acceso por roles</x:v>
      </x:c>
    </x:row>
    <x:row r="33" ht="40" customHeight="1">
      <x:c r="A33" s="12" t="str">
        <x:v>RNF3</x:v>
      </x:c>
      <x:c r="B33" s="12" t="str">
        <x:v>No Funcional</x:v>
      </x:c>
      <x:c r="C33" s="12" t="str">
        <x:v>S0</x:v>
      </x:c>
      <x:c r="D33" s="12" t="str">
        <x:v>Gestión de Usuarios</x:v>
      </x:c>
      <x:c r="E33" s="12" t="str">
        <x:v>Protección de datos personales</x:v>
      </x:c>
    </x:row>
    <x:row r="34" ht="40" customHeight="1">
      <x:c r="A34" s="12" t="str">
        <x:v>RNF4</x:v>
      </x:c>
      <x:c r="B34" s="12" t="str">
        <x:v>No Funcional</x:v>
      </x:c>
      <x:c r="C34" s="12" t="str">
        <x:v>S0</x:v>
      </x:c>
      <x:c r="D34" s="12" t="str">
        <x:v>Gestión de Usuarios</x:v>
      </x:c>
      <x:c r="E34" s="12" t="str">
        <x:v>Registro de auditoría de accesos</x:v>
      </x:c>
    </x:row>
    <x:row r="35" ht="40" customHeight="1">
      <x:c r="A35" s="12" t="str">
        <x:v>RNF5</x:v>
      </x:c>
      <x:c r="B35" s="12" t="str">
        <x:v>No Funcional</x:v>
      </x:c>
      <x:c r="C35" s="12" t="str">
        <x:v>S0</x:v>
      </x:c>
      <x:c r="D35" s="12" t="str">
        <x:v>Gestión de Usuarios</x:v>
      </x:c>
      <x:c r="E35" s="12" t="str">
        <x:v>Backup y restore</x:v>
      </x:c>
    </x:row>
    <x:row r="36" ht="40" customHeight="1">
      <x:c r="A36" s="12" t="str">
        <x:v>RNF6</x:v>
      </x:c>
      <x:c r="B36" s="12" t="str">
        <x:v>No Funcional</x:v>
      </x:c>
      <x:c r="C36" s="12" t="str">
        <x:v>S1</x:v>
      </x:c>
      <x:c r="D36" s="12" t="str">
        <x:v>Gestionar Libros</x:v>
      </x:c>
      <x:c r="E36" s="12" t="str">
        <x:v>Tiempo de respuesta menor a 3 segundos</x:v>
      </x:c>
    </x:row>
    <x:row r="37" ht="40" customHeight="1">
      <x:c r="A37" s="12" t="str">
        <x:v>RNF7</x:v>
      </x:c>
      <x:c r="B37" s="12" t="str">
        <x:v>No Funcional</x:v>
      </x:c>
      <x:c r="C37" s="12" t="str">
        <x:v>S1</x:v>
      </x:c>
      <x:c r="D37" s="12" t="str">
        <x:v>Gestionar Libros</x:v>
      </x:c>
      <x:c r="E37" s="12" t="str">
        <x:v>Interfaz multiplataforma</x:v>
      </x:c>
    </x:row>
    <x:row r="38" ht="40" customHeight="1">
      <x:c r="A38" s="12" t="str">
        <x:v>RNF8</x:v>
      </x:c>
      <x:c r="B38" s="12" t="str">
        <x:v>No Funcional</x:v>
      </x:c>
      <x:c r="C38" s="12" t="str">
        <x:v>S1</x:v>
      </x:c>
      <x:c r="D38" s="12" t="str">
        <x:v>Gestionar Libros</x:v>
      </x:c>
      <x:c r="E38" s="12" t="str">
        <x:v>Interfaz amigable para el usuario</x:v>
      </x:c>
    </x:row>
    <x:row r="39" ht="40" customHeight="1">
      <x:c r="A39" s="12" t="str">
        <x:v>RNF9</x:v>
      </x:c>
      <x:c r="B39" s="12" t="str">
        <x:v>No Funcional</x:v>
      </x:c>
      <x:c r="C39" s="12" t="str">
        <x:v>S1</x:v>
      </x:c>
      <x:c r="D39" s="12" t="str">
        <x:v>Gestionar Libros</x:v>
      </x:c>
      <x:c r="E39" s="12" t="str">
        <x:v>Navegación en máximo 3 clics</x:v>
      </x:c>
    </x:row>
    <x:row r="40" ht="40" customHeight="1">
      <x:c r="A40" s="12" t="str">
        <x:v>RNF10</x:v>
      </x:c>
      <x:c r="B40" s="12" t="str">
        <x:v>No Funcional</x:v>
      </x:c>
      <x:c r="C40" s="12" t="str">
        <x:v>S1</x:v>
      </x:c>
      <x:c r="D40" s="12" t="str">
        <x:v>Gestionar Libros</x:v>
      </x:c>
      <x:c r="E40" s="12" t="str">
        <x:v>Consistencia entre catálogo y existencias reales</x:v>
      </x:c>
    </x:row>
    <x:row r="41" ht="40" customHeight="1">
      <x:c r="A41" s="12" t="str">
        <x:v>RNF11</x:v>
      </x:c>
      <x:c r="B41" s="12" t="str">
        <x:v>No Funcional</x:v>
      </x:c>
      <x:c r="C41" s="12" t="str">
        <x:v>S1</x:v>
      </x:c>
      <x:c r="D41" s="12" t="str">
        <x:v>Gestionar Libros</x:v>
      </x:c>
      <x:c r="E41" s="12" t="str">
        <x:v>Sistema confiable y preciso</x:v>
      </x:c>
    </x:row>
    <x:row r="42" ht="40" customHeight="1">
      <x:c r="A42" s="12" t="str">
        <x:v>RNF12</x:v>
      </x:c>
      <x:c r="B42" s="12" t="str">
        <x:v>No Funcional</x:v>
      </x:c>
      <x:c r="C42" s="12" t="str">
        <x:v>S1</x:v>
      </x:c>
      <x:c r="D42" s="12" t="str">
        <x:v>Buscar Libros</x:v>
      </x:c>
      <x:c r="E42" s="12" t="str">
        <x:v>Chatbot informativo</x:v>
      </x:c>
    </x:row>
    <x:row r="43" ht="40" customHeight="1">
      <x:c r="A43" s="12" t="str">
        <x:v>RNF13</x:v>
      </x:c>
      <x:c r="B43" s="12" t="str">
        <x:v>No Funcional</x:v>
      </x:c>
      <x:c r="C43" s="12" t="str">
        <x:v>S1</x:v>
      </x:c>
      <x:c r="D43" s="12" t="str">
        <x:v>Buscar Libros</x:v>
      </x:c>
      <x:c r="E43" s="12" t="str">
        <x:v>Búsquedas rápidas</x:v>
      </x:c>
    </x:row>
    <x:row r="44" ht="40" customHeight="1">
      <x:c r="A44" s="12" t="str">
        <x:v>RNF14</x:v>
      </x:c>
      <x:c r="B44" s="12" t="str">
        <x:v>No Funcional</x:v>
      </x:c>
      <x:c r="C44" s="12" t="str">
        <x:v>S1</x:v>
      </x:c>
      <x:c r="D44" s="12" t="str">
        <x:v>Buscar Libros</x:v>
      </x:c>
      <x:c r="E44" s="12" t="str">
        <x:v>Interfaz responsive</x:v>
      </x:c>
    </x:row>
    <x:row r="45" ht="40" customHeight="1">
      <x:c r="A45" s="12" t="str">
        <x:v>RNF15</x:v>
      </x:c>
      <x:c r="B45" s="12" t="str">
        <x:v>No Funcional</x:v>
      </x:c>
      <x:c r="C45" s="12" t="str">
        <x:v>S2</x:v>
      </x:c>
      <x:c r="D45" s="12" t="str">
        <x:v>Prestar Libros</x:v>
      </x:c>
      <x:c r="E45" s="12" t="str">
        <x:v>Integridad de datos</x:v>
      </x:c>
    </x:row>
    <x:row r="46" ht="40" customHeight="1">
      <x:c r="A46" s="12" t="str">
        <x:v>RNF16</x:v>
      </x:c>
      <x:c r="B46" s="12" t="str">
        <x:v>No Funcional</x:v>
      </x:c>
      <x:c r="C46" s="12" t="str">
        <x:v>S2</x:v>
      </x:c>
      <x:c r="D46" s="12" t="str">
        <x:v>Prestar Libros</x:v>
      </x:c>
      <x:c r="E46" s="12" t="str">
        <x:v>Registro de métricas de préstamo</x:v>
      </x:c>
    </x:row>
    <x:row r="47" ht="40" customHeight="1">
      <x:c r="A47" s="12" t="str">
        <x:v>RNF17</x:v>
      </x:c>
      <x:c r="B47" s="12" t="str">
        <x:v>No Funcional</x:v>
      </x:c>
      <x:c r="C47" s="12" t="str">
        <x:v>S2</x:v>
      </x:c>
      <x:c r="D47" s="12" t="str">
        <x:v>Prestar Libros</x:v>
      </x:c>
      <x:c r="E47" s="12" t="str">
        <x:v>Reducción de tiempos de atención</x:v>
      </x:c>
    </x:row>
    <x:row r="48" ht="40" customHeight="1">
      <x:c r="A48" s="12" t="str">
        <x:v>RNF18</x:v>
      </x:c>
      <x:c r="B48" s="12" t="str">
        <x:v>No Funcional</x:v>
      </x:c>
      <x:c r="C48" s="12" t="str">
        <x:v>S2</x:v>
      </x:c>
      <x:c r="D48" s="12" t="str">
        <x:v>Devolver Libros</x:v>
      </x:c>
      <x:c r="E48" s="12" t="str">
        <x:v>Precisión en cálculos</x:v>
      </x:c>
    </x:row>
    <x:row r="49" ht="40" customHeight="1">
      <x:c r="A49" s="12" t="str">
        <x:v>RNF19</x:v>
      </x:c>
      <x:c r="B49" s="12" t="str">
        <x:v>No Funcional</x:v>
      </x:c>
      <x:c r="C49" s="12" t="str">
        <x:v>S2</x:v>
      </x:c>
      <x:c r="D49" s="12" t="str">
        <x:v>Devolver Libros</x:v>
      </x:c>
      <x:c r="E49" s="12" t="str">
        <x:v>Historial de transacciones</x:v>
      </x:c>
    </x:row>
    <x:row r="50" ht="40" customHeight="1">
      <x:c r="A50" s="12" t="str">
        <x:v>RNF20</x:v>
      </x:c>
      <x:c r="B50" s="12" t="str">
        <x:v>No Funcional</x:v>
      </x:c>
      <x:c r="C50" s="12" t="str">
        <x:v>S2</x:v>
      </x:c>
      <x:c r="D50" s="12" t="str">
        <x:v>Devolver Libros</x:v>
      </x:c>
      <x:c r="E50" s="12" t="str">
        <x:v>Respaldo de información</x:v>
      </x:c>
    </x:row>
    <x:row r="51" ht="40" customHeight="1">
      <x:c r="A51" s="12" t="str">
        <x:v>RNF21</x:v>
      </x:c>
      <x:c r="B51" s="12" t="str">
        <x:v>No Funcional</x:v>
      </x:c>
      <x:c r="C51" s="12" t="str">
        <x:v>S2</x:v>
      </x:c>
      <x:c r="D51" s="12" t="str">
        <x:v>Reportes y Control</x:v>
      </x:c>
      <x:c r="E51" s="12" t="str">
        <x:v>Generación rápida de reportes</x:v>
      </x:c>
    </x:row>
    <x:row r="52" ht="40" customHeight="1">
      <x:c r="A52" s="12" t="str">
        <x:v>RNF22</x:v>
      </x:c>
      <x:c r="B52" s="12" t="str">
        <x:v>No Funcional</x:v>
      </x:c>
      <x:c r="C52" s="12" t="str">
        <x:v>S2</x:v>
      </x:c>
      <x:c r="D52" s="12" t="str">
        <x:v>Reportes y Control</x:v>
      </x:c>
      <x:c r="E52" s="12" t="str">
        <x:v>Escalabilidad del sistema</x:v>
      </x:c>
    </x:row>
    <x:row r="53" ht="40" customHeight="1">
      <x:c r="A53" s="12" t="str">
        <x:v>RNF23</x:v>
      </x:c>
      <x:c r="B53" s="12" t="str">
        <x:v>No Funcional</x:v>
      </x:c>
      <x:c r="C53" s="12" t="str">
        <x:v>S2</x:v>
      </x:c>
      <x:c r="D53" s="12" t="str">
        <x:v>Reportes y Control</x:v>
      </x:c>
      <x:c r="E53" s="12" t="str">
        <x:v>Facilidad de actualización y mantenibilidad</x:v>
      </x:c>
    </x:row>
  </x:sheetData>
  <x:pageMargins left="0.7" right="0.7" top="0.75" bottom="0.75" header="0.3" footer="0.3"/>
  <x:tableParts count="1">
    <x:tablePart xmlns:r="http://schemas.openxmlformats.org/officeDocument/2006/relationships" r:id="Rf14ca1b8acd94c57"/>
  </x:tableParts>
</x:worksheet>
</file>